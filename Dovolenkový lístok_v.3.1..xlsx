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ento_zošit"/>
  <mc:AlternateContent xmlns:mc="http://schemas.openxmlformats.org/markup-compatibility/2006">
    <mc:Choice Requires="x15">
      <x15ac:absPath xmlns:x15ac="http://schemas.microsoft.com/office/spreadsheetml/2010/11/ac" url="C:\Users\12076\Desktop\Iné\"/>
    </mc:Choice>
  </mc:AlternateContent>
  <xr:revisionPtr revIDLastSave="0" documentId="8_{7CAEEBFF-0F78-4CDE-A800-31DEDFF350F8}" xr6:coauthVersionLast="47" xr6:coauthVersionMax="47" xr10:uidLastSave="{00000000-0000-0000-0000-000000000000}"/>
  <bookViews>
    <workbookView xWindow="-120" yWindow="-120" windowWidth="29040" windowHeight="15840" xr2:uid="{E6EC78FB-DC3E-470D-A96F-423EF7D97E75}"/>
  </bookViews>
  <sheets>
    <sheet name="Dovolenkový lístok" sheetId="1" r:id="rId1"/>
  </sheets>
  <definedNames>
    <definedName name="_xlnm._FilterDatabase" localSheetId="0" hidden="1">'Dovolenkový lístok'!$U$21</definedName>
    <definedName name="_xlnm.Print_Area" localSheetId="0">'Dovolenkový lístok'!$A$1:$K$33</definedName>
  </definedNames>
  <calcPr calcId="191029"/>
</workbook>
</file>

<file path=xl/calcChain.xml><?xml version="1.0" encoding="utf-8"?>
<calcChain xmlns="http://schemas.openxmlformats.org/spreadsheetml/2006/main">
  <c r="P40" i="1" l="1"/>
  <c r="Q40" i="1" s="1"/>
  <c r="R40" i="1" s="1"/>
  <c r="G32" i="1"/>
  <c r="E25" i="1"/>
  <c r="H7" i="1"/>
  <c r="H24" i="1" s="1"/>
  <c r="B25" i="1"/>
  <c r="AA39" i="1"/>
  <c r="G15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38" i="1"/>
  <c r="AH105" i="1" l="1"/>
  <c r="AH69" i="1"/>
  <c r="AI69" i="1" s="1"/>
  <c r="AI60" i="1"/>
  <c r="AI105" i="1" l="1"/>
  <c r="AH132" i="1"/>
  <c r="AI132" i="1" s="1"/>
  <c r="AH116" i="1"/>
  <c r="AI116" i="1" s="1"/>
  <c r="AH128" i="1"/>
  <c r="AI128" i="1" s="1"/>
  <c r="AH112" i="1"/>
  <c r="AI112" i="1" s="1"/>
  <c r="AH106" i="1"/>
  <c r="AI106" i="1" s="1"/>
  <c r="AH124" i="1"/>
  <c r="AI124" i="1" s="1"/>
  <c r="AH136" i="1"/>
  <c r="AI136" i="1" s="1"/>
  <c r="AH120" i="1"/>
  <c r="AI120" i="1" s="1"/>
  <c r="AH70" i="1"/>
  <c r="AI70" i="1" s="1"/>
  <c r="AH74" i="1"/>
  <c r="AI74" i="1" s="1"/>
  <c r="AH78" i="1"/>
  <c r="AI78" i="1" s="1"/>
  <c r="AH82" i="1"/>
  <c r="AI82" i="1" s="1"/>
  <c r="AH86" i="1"/>
  <c r="AI86" i="1" s="1"/>
  <c r="AH90" i="1"/>
  <c r="AI90" i="1" s="1"/>
  <c r="AH94" i="1"/>
  <c r="AI94" i="1" s="1"/>
  <c r="AH98" i="1"/>
  <c r="AI98" i="1" s="1"/>
  <c r="AH71" i="1"/>
  <c r="AI71" i="1" s="1"/>
  <c r="AH75" i="1"/>
  <c r="AI75" i="1" s="1"/>
  <c r="AH79" i="1"/>
  <c r="AI79" i="1" s="1"/>
  <c r="AH83" i="1"/>
  <c r="AI83" i="1" s="1"/>
  <c r="AH87" i="1"/>
  <c r="AI87" i="1" s="1"/>
  <c r="AH91" i="1"/>
  <c r="AI91" i="1" s="1"/>
  <c r="AH95" i="1"/>
  <c r="AI95" i="1" s="1"/>
  <c r="AH99" i="1"/>
  <c r="AI99" i="1" s="1"/>
  <c r="AH72" i="1"/>
  <c r="AI72" i="1" s="1"/>
  <c r="AH76" i="1"/>
  <c r="AI76" i="1" s="1"/>
  <c r="AH80" i="1"/>
  <c r="AI80" i="1" s="1"/>
  <c r="AH84" i="1"/>
  <c r="AI84" i="1" s="1"/>
  <c r="AH88" i="1"/>
  <c r="AI88" i="1" s="1"/>
  <c r="AH92" i="1"/>
  <c r="AI92" i="1" s="1"/>
  <c r="AH96" i="1"/>
  <c r="AI96" i="1" s="1"/>
  <c r="AH100" i="1"/>
  <c r="AI100" i="1" s="1"/>
  <c r="AH73" i="1"/>
  <c r="AI73" i="1" s="1"/>
  <c r="AH77" i="1"/>
  <c r="AI77" i="1" s="1"/>
  <c r="AH81" i="1"/>
  <c r="AI81" i="1" s="1"/>
  <c r="AH85" i="1"/>
  <c r="AI85" i="1" s="1"/>
  <c r="AH89" i="1"/>
  <c r="AI89" i="1" s="1"/>
  <c r="AH93" i="1"/>
  <c r="AI93" i="1" s="1"/>
  <c r="AH97" i="1"/>
  <c r="AI97" i="1" s="1"/>
  <c r="AH101" i="1"/>
  <c r="AI101" i="1" s="1"/>
  <c r="AH108" i="1"/>
  <c r="AI108" i="1" s="1"/>
  <c r="AH135" i="1"/>
  <c r="AI135" i="1" s="1"/>
  <c r="AH131" i="1"/>
  <c r="AI131" i="1" s="1"/>
  <c r="AH127" i="1"/>
  <c r="AI127" i="1" s="1"/>
  <c r="AH123" i="1"/>
  <c r="AI123" i="1" s="1"/>
  <c r="AH119" i="1"/>
  <c r="AI119" i="1" s="1"/>
  <c r="AH115" i="1"/>
  <c r="AI115" i="1" s="1"/>
  <c r="AH111" i="1"/>
  <c r="AI111" i="1" s="1"/>
  <c r="AH107" i="1"/>
  <c r="AI107" i="1" s="1"/>
  <c r="AH134" i="1"/>
  <c r="AI134" i="1" s="1"/>
  <c r="AH130" i="1"/>
  <c r="AI130" i="1" s="1"/>
  <c r="AH126" i="1"/>
  <c r="AI126" i="1" s="1"/>
  <c r="AH122" i="1"/>
  <c r="AI122" i="1" s="1"/>
  <c r="AH118" i="1"/>
  <c r="AI118" i="1" s="1"/>
  <c r="AH114" i="1"/>
  <c r="AI114" i="1" s="1"/>
  <c r="AH110" i="1"/>
  <c r="AI110" i="1" s="1"/>
  <c r="AH137" i="1"/>
  <c r="AI137" i="1" s="1"/>
  <c r="AH133" i="1"/>
  <c r="AI133" i="1" s="1"/>
  <c r="AH129" i="1"/>
  <c r="AI129" i="1" s="1"/>
  <c r="AH125" i="1"/>
  <c r="AI125" i="1" s="1"/>
  <c r="AH121" i="1"/>
  <c r="AI121" i="1" s="1"/>
  <c r="AH117" i="1"/>
  <c r="AI117" i="1" s="1"/>
  <c r="AH113" i="1"/>
  <c r="AI113" i="1" s="1"/>
  <c r="AH109" i="1"/>
  <c r="AI109" i="1" s="1"/>
  <c r="X109" i="1" l="1"/>
  <c r="X108" i="1"/>
  <c r="X107" i="1"/>
  <c r="X106" i="1"/>
  <c r="X105" i="1"/>
  <c r="X104" i="1"/>
  <c r="AH39" i="1"/>
  <c r="C10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39" i="1"/>
  <c r="AB52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S41" i="1"/>
  <c r="S40" i="1"/>
  <c r="S56" i="1"/>
  <c r="S55" i="1"/>
  <c r="R56" i="1"/>
  <c r="R55" i="1"/>
  <c r="S10" i="1"/>
  <c r="A31" i="1" s="1"/>
  <c r="U61" i="1"/>
  <c r="U60" i="1"/>
  <c r="R88" i="1"/>
  <c r="S88" i="1" s="1"/>
  <c r="T88" i="1" s="1"/>
  <c r="U10" i="1"/>
  <c r="A33" i="1" s="1"/>
  <c r="U9" i="1"/>
  <c r="A16" i="1"/>
  <c r="T10" i="1"/>
  <c r="A32" i="1" s="1"/>
  <c r="T9" i="1"/>
  <c r="A15" i="1" s="1"/>
  <c r="S9" i="1"/>
  <c r="A14" i="1" s="1"/>
  <c r="R10" i="1"/>
  <c r="A26" i="1" s="1"/>
  <c r="R9" i="1"/>
  <c r="A9" i="1" s="1"/>
  <c r="Q10" i="1"/>
  <c r="A24" i="1" s="1"/>
  <c r="Q9" i="1"/>
  <c r="A7" i="1" s="1"/>
  <c r="P10" i="1"/>
  <c r="A18" i="1" s="1"/>
  <c r="P9" i="1"/>
  <c r="A1" i="1" s="1"/>
  <c r="G31" i="1"/>
  <c r="R87" i="1"/>
  <c r="S87" i="1" s="1"/>
  <c r="G14" i="1"/>
  <c r="T19" i="1"/>
  <c r="X87" i="1"/>
  <c r="X86" i="1"/>
  <c r="X85" i="1"/>
  <c r="X84" i="1"/>
  <c r="X83" i="1"/>
  <c r="X82" i="1"/>
  <c r="X81" i="1"/>
  <c r="X80" i="1"/>
  <c r="X79" i="1"/>
  <c r="X78" i="1"/>
  <c r="X77" i="1"/>
  <c r="X76" i="1"/>
  <c r="X75" i="1"/>
  <c r="X74" i="1"/>
  <c r="X73" i="1"/>
  <c r="X72" i="1"/>
  <c r="X71" i="1"/>
  <c r="X70" i="1"/>
  <c r="X69" i="1"/>
  <c r="X68" i="1"/>
  <c r="X67" i="1"/>
  <c r="X66" i="1"/>
  <c r="X65" i="1"/>
  <c r="X64" i="1"/>
  <c r="X63" i="1"/>
  <c r="X62" i="1"/>
  <c r="X61" i="1"/>
  <c r="X60" i="1"/>
  <c r="X59" i="1"/>
  <c r="X58" i="1"/>
  <c r="X57" i="1"/>
  <c r="X56" i="1"/>
  <c r="X55" i="1"/>
  <c r="X54" i="1"/>
  <c r="U39" i="1" s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V16" i="1" s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1" i="1"/>
  <c r="X100" i="1"/>
  <c r="X102" i="1"/>
  <c r="X10" i="1"/>
  <c r="T16" i="1" s="1"/>
  <c r="X97" i="1"/>
  <c r="X2" i="1"/>
  <c r="X3" i="1"/>
  <c r="X4" i="1"/>
  <c r="X5" i="1"/>
  <c r="X6" i="1"/>
  <c r="X7" i="1"/>
  <c r="X8" i="1"/>
  <c r="X9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103" i="1"/>
  <c r="X101" i="1"/>
  <c r="X99" i="1"/>
  <c r="X98" i="1"/>
  <c r="X96" i="1"/>
  <c r="X95" i="1"/>
  <c r="X94" i="1"/>
  <c r="X93" i="1"/>
  <c r="X92" i="1"/>
  <c r="X91" i="1"/>
  <c r="X90" i="1"/>
  <c r="X89" i="1"/>
  <c r="X88" i="1"/>
  <c r="P60" i="1"/>
  <c r="P2" i="1"/>
  <c r="G13" i="1" l="1"/>
  <c r="C27" i="1"/>
  <c r="G30" i="1" s="1"/>
  <c r="T87" i="1"/>
  <c r="H8" i="1"/>
  <c r="P41" i="1"/>
  <c r="AI65" i="1" s="1"/>
  <c r="Q41" i="1" l="1"/>
  <c r="AI62" i="1"/>
  <c r="AJ69" i="1" s="1"/>
  <c r="AJ106" i="1"/>
  <c r="AG106" i="1" s="1"/>
  <c r="AJ110" i="1"/>
  <c r="AG110" i="1" s="1"/>
  <c r="AJ114" i="1"/>
  <c r="AG114" i="1" s="1"/>
  <c r="AJ118" i="1"/>
  <c r="AG118" i="1" s="1"/>
  <c r="AJ122" i="1"/>
  <c r="AG122" i="1" s="1"/>
  <c r="AJ126" i="1"/>
  <c r="AG126" i="1" s="1"/>
  <c r="AJ130" i="1"/>
  <c r="AG130" i="1" s="1"/>
  <c r="AJ134" i="1"/>
  <c r="AG134" i="1" s="1"/>
  <c r="AJ105" i="1"/>
  <c r="AJ107" i="1"/>
  <c r="AG107" i="1" s="1"/>
  <c r="AJ111" i="1"/>
  <c r="AG111" i="1" s="1"/>
  <c r="AJ115" i="1"/>
  <c r="AG115" i="1" s="1"/>
  <c r="AJ119" i="1"/>
  <c r="AG119" i="1" s="1"/>
  <c r="AJ123" i="1"/>
  <c r="AG123" i="1" s="1"/>
  <c r="AJ127" i="1"/>
  <c r="AG127" i="1" s="1"/>
  <c r="AJ131" i="1"/>
  <c r="AG131" i="1" s="1"/>
  <c r="AJ135" i="1"/>
  <c r="AG135" i="1" s="1"/>
  <c r="AJ108" i="1"/>
  <c r="AG108" i="1" s="1"/>
  <c r="AJ112" i="1"/>
  <c r="AG112" i="1" s="1"/>
  <c r="AJ116" i="1"/>
  <c r="AG116" i="1" s="1"/>
  <c r="AJ120" i="1"/>
  <c r="AG120" i="1" s="1"/>
  <c r="AJ124" i="1"/>
  <c r="AG124" i="1" s="1"/>
  <c r="AJ128" i="1"/>
  <c r="AG128" i="1" s="1"/>
  <c r="AJ132" i="1"/>
  <c r="AG132" i="1" s="1"/>
  <c r="AJ136" i="1"/>
  <c r="AG136" i="1" s="1"/>
  <c r="AJ109" i="1"/>
  <c r="AG109" i="1" s="1"/>
  <c r="AJ113" i="1"/>
  <c r="AG113" i="1" s="1"/>
  <c r="AJ117" i="1"/>
  <c r="AG117" i="1" s="1"/>
  <c r="AJ121" i="1"/>
  <c r="AG121" i="1" s="1"/>
  <c r="AJ125" i="1"/>
  <c r="AG125" i="1" s="1"/>
  <c r="AJ129" i="1"/>
  <c r="AG129" i="1" s="1"/>
  <c r="AJ133" i="1"/>
  <c r="AG133" i="1" s="1"/>
  <c r="AJ137" i="1"/>
  <c r="AG137" i="1" s="1"/>
  <c r="G9" i="1"/>
  <c r="A4" i="1"/>
  <c r="A21" i="1" s="1"/>
  <c r="R41" i="1" l="1"/>
  <c r="G26" i="1" s="1"/>
  <c r="AG105" i="1"/>
  <c r="AG69" i="1"/>
  <c r="AJ89" i="1"/>
  <c r="AG89" i="1" s="1"/>
  <c r="AJ73" i="1"/>
  <c r="AG73" i="1" s="1"/>
  <c r="AJ88" i="1"/>
  <c r="AJ72" i="1"/>
  <c r="AG72" i="1" s="1"/>
  <c r="AJ87" i="1"/>
  <c r="AG87" i="1" s="1"/>
  <c r="AJ71" i="1"/>
  <c r="AG71" i="1" s="1"/>
  <c r="AJ86" i="1"/>
  <c r="AG86" i="1" s="1"/>
  <c r="AJ70" i="1"/>
  <c r="AG70" i="1" s="1"/>
  <c r="AJ81" i="1"/>
  <c r="AG81" i="1" s="1"/>
  <c r="AJ96" i="1"/>
  <c r="AG96" i="1" s="1"/>
  <c r="AJ95" i="1"/>
  <c r="AG95" i="1" s="1"/>
  <c r="AJ94" i="1"/>
  <c r="AG94" i="1" s="1"/>
  <c r="AJ101" i="1"/>
  <c r="AJ85" i="1"/>
  <c r="AG85" i="1" s="1"/>
  <c r="AJ100" i="1"/>
  <c r="AG100" i="1" s="1"/>
  <c r="AJ84" i="1"/>
  <c r="AG84" i="1" s="1"/>
  <c r="AJ99" i="1"/>
  <c r="AG99" i="1" s="1"/>
  <c r="AJ83" i="1"/>
  <c r="AG83" i="1" s="1"/>
  <c r="AJ98" i="1"/>
  <c r="AG98" i="1" s="1"/>
  <c r="AJ82" i="1"/>
  <c r="AG82" i="1" s="1"/>
  <c r="AJ97" i="1"/>
  <c r="AG97" i="1" s="1"/>
  <c r="AJ80" i="1"/>
  <c r="AG80" i="1" s="1"/>
  <c r="AJ79" i="1"/>
  <c r="AG79" i="1" s="1"/>
  <c r="AJ78" i="1"/>
  <c r="AG78" i="1" s="1"/>
  <c r="AJ93" i="1"/>
  <c r="AG93" i="1" s="1"/>
  <c r="AJ77" i="1"/>
  <c r="AG77" i="1" s="1"/>
  <c r="AJ92" i="1"/>
  <c r="AG92" i="1" s="1"/>
  <c r="AJ76" i="1"/>
  <c r="AG76" i="1" s="1"/>
  <c r="AJ91" i="1"/>
  <c r="AG91" i="1" s="1"/>
  <c r="AJ75" i="1"/>
  <c r="AG75" i="1" s="1"/>
  <c r="AJ90" i="1"/>
  <c r="AG90" i="1" s="1"/>
  <c r="AJ74" i="1"/>
  <c r="AG74" i="1" s="1"/>
  <c r="G4" i="1"/>
  <c r="AJ138" i="1"/>
  <c r="A6" i="1" l="1"/>
  <c r="A23" i="1" s="1"/>
  <c r="G6" i="1"/>
  <c r="G23" i="1" s="1"/>
  <c r="G21" i="1"/>
  <c r="P46" i="1"/>
  <c r="AF94" i="1"/>
  <c r="AG101" i="1"/>
  <c r="AG88" i="1"/>
  <c r="AJ102" i="1"/>
  <c r="H25" i="1" s="1"/>
  <c r="G33" i="1" s="1"/>
  <c r="G16" i="1" l="1"/>
  <c r="I8" i="1"/>
  <c r="AF93" i="1"/>
  <c r="I16" i="1" l="1"/>
  <c r="I25" i="1"/>
  <c r="I33" i="1" s="1"/>
  <c r="AF97" i="1"/>
</calcChain>
</file>

<file path=xl/sharedStrings.xml><?xml version="1.0" encoding="utf-8"?>
<sst xmlns="http://schemas.openxmlformats.org/spreadsheetml/2006/main" count="369" uniqueCount="149">
  <si>
    <t>Dovolenka</t>
  </si>
  <si>
    <t>Zákonné voľno</t>
  </si>
  <si>
    <t>Náhradné voľno</t>
  </si>
  <si>
    <t>Dopravný podnik Bratislava, akciová spoločnosť</t>
  </si>
  <si>
    <t>Priezvisko, meno, titul</t>
  </si>
  <si>
    <t>Osobné číslo</t>
  </si>
  <si>
    <t>Útvar</t>
  </si>
  <si>
    <t>Číslo útvaru</t>
  </si>
  <si>
    <t>Žiada o dovolenku na zotavenie za rok:</t>
  </si>
  <si>
    <t>Žiada o náhradné voľno za:</t>
  </si>
  <si>
    <t>Žiada o zákonné voľno</t>
  </si>
  <si>
    <t>Miesto pobytu na dovolenke:</t>
  </si>
  <si>
    <t>Skutočný nástup dovolenky:</t>
  </si>
  <si>
    <t>Skutočný začiatok čerpania NV:</t>
  </si>
  <si>
    <t>Miesto pobytu počas čerpania ZV:</t>
  </si>
  <si>
    <t>Miesto pobytu počas čerpania NV:</t>
  </si>
  <si>
    <t>Skutočný začiatok čerpania ZV:</t>
  </si>
  <si>
    <t>Nástup do zamestnania po dovolenke:</t>
  </si>
  <si>
    <t>Nástup do zamestnania po NV:</t>
  </si>
  <si>
    <t>Nástup do zamestnania po ZV:</t>
  </si>
  <si>
    <t>Z tejto dovolenky sa skutočne čerpalo:</t>
  </si>
  <si>
    <t>Z tohto NV sa skutočne čerpalo:</t>
  </si>
  <si>
    <t>Z tohto ZV sa skutočne čerpalo:</t>
  </si>
  <si>
    <t>Dátum:</t>
  </si>
  <si>
    <t>podpis zamestnanca:</t>
  </si>
  <si>
    <t>Schválil:</t>
  </si>
  <si>
    <t>od:</t>
  </si>
  <si>
    <t>do:</t>
  </si>
  <si>
    <t>vrátne, t.j.</t>
  </si>
  <si>
    <t>pracovných zmien</t>
  </si>
  <si>
    <t>pracovných dní</t>
  </si>
  <si>
    <t>pracovných hodín</t>
  </si>
  <si>
    <t>pracovné zmeny</t>
  </si>
  <si>
    <t>pracovný deň</t>
  </si>
  <si>
    <t>pracovné dni</t>
  </si>
  <si>
    <t>pracovné hodiny</t>
  </si>
  <si>
    <t>Žiada o dovolenku na zotavenie za kalendárny rok:</t>
  </si>
  <si>
    <t>Žiada o zákonné voľno:</t>
  </si>
  <si>
    <t>pracovnú zmenu</t>
  </si>
  <si>
    <t>pracovnú hodinu</t>
  </si>
  <si>
    <t>pracovného dňa</t>
  </si>
  <si>
    <t>JAJCAJ Milan</t>
  </si>
  <si>
    <t>ZELINKA Jozef</t>
  </si>
  <si>
    <t>Bratislava</t>
  </si>
  <si>
    <t>REGENSBOGEN Peter</t>
  </si>
  <si>
    <t>HANZL Tomáš</t>
  </si>
  <si>
    <t>MALIŠ Martin</t>
  </si>
  <si>
    <t>VITTEK Róbert</t>
  </si>
  <si>
    <t>ZÁZIK Vladimír</t>
  </si>
  <si>
    <t>Galanta</t>
  </si>
  <si>
    <t>Následujúci deň</t>
  </si>
  <si>
    <t>2 dni voľno</t>
  </si>
  <si>
    <t>34 + 2dni voľno</t>
  </si>
  <si>
    <t>Bez 34</t>
  </si>
  <si>
    <t>S 34</t>
  </si>
  <si>
    <t xml:space="preserve">ČECHO Branislav </t>
  </si>
  <si>
    <t>CHMURA Jozef</t>
  </si>
  <si>
    <t>KOVAČIK Ľubomír</t>
  </si>
  <si>
    <t xml:space="preserve">BARTÁKOVÁ Zuzana </t>
  </si>
  <si>
    <t xml:space="preserve">BOJČEV Dávid </t>
  </si>
  <si>
    <t>DOBCSÁNYIOVÁ Iveta</t>
  </si>
  <si>
    <t>---------------------------------------------------------------------------------------------------------------------------</t>
  </si>
  <si>
    <t>DORIČKA PARTIA</t>
  </si>
  <si>
    <t>HANZL Jozef</t>
  </si>
  <si>
    <t>Veľký Bieľ</t>
  </si>
  <si>
    <t>sl.č.</t>
  </si>
  <si>
    <t>miesto</t>
  </si>
  <si>
    <t>BILEVIC PARTIA</t>
  </si>
  <si>
    <t>VYŠETROVATEĽIA</t>
  </si>
  <si>
    <t>BILEVIC Viliam</t>
  </si>
  <si>
    <t>MIZERA Martin</t>
  </si>
  <si>
    <t>LAURINSKÝ Jozef</t>
  </si>
  <si>
    <t>BĚLOHOUBEK Peter</t>
  </si>
  <si>
    <t>BUMBALA Štefan</t>
  </si>
  <si>
    <t>BÍLENNÝ Juraj</t>
  </si>
  <si>
    <t>ŽILINSKÝ Ján</t>
  </si>
  <si>
    <t>DUJČÍK František</t>
  </si>
  <si>
    <t>RYBIANSKÝ Ivan</t>
  </si>
  <si>
    <t>HUJO Martin</t>
  </si>
  <si>
    <t>MADA Richard</t>
  </si>
  <si>
    <t>VUKOV Roman</t>
  </si>
  <si>
    <t>KOVAČIK PARTIA</t>
  </si>
  <si>
    <t>WISLA Natan</t>
  </si>
  <si>
    <t>DORIČKA Peter</t>
  </si>
  <si>
    <t>HAVRAN Roman</t>
  </si>
  <si>
    <t>LETKO Drahomír</t>
  </si>
  <si>
    <t>KOLLÁR Jozef</t>
  </si>
  <si>
    <t>BUZINKAI Richard</t>
  </si>
  <si>
    <t>LAKY Vladimír</t>
  </si>
  <si>
    <t>MADA Michal</t>
  </si>
  <si>
    <t>LAKY Tomáš</t>
  </si>
  <si>
    <t>DÖMÉNY Dominik</t>
  </si>
  <si>
    <t>KUZMOVÁ Edita</t>
  </si>
  <si>
    <t>MÜLLER Mário</t>
  </si>
  <si>
    <t>SZALAY Ľuboš</t>
  </si>
  <si>
    <t>SZALAYOVÁ Eva</t>
  </si>
  <si>
    <t>BRICHTOVÁ Alžbeta</t>
  </si>
  <si>
    <t>GAZÁREK Vladimír</t>
  </si>
  <si>
    <t>DOROTOVIČ Maroš</t>
  </si>
  <si>
    <t>KÁČER Dušan</t>
  </si>
  <si>
    <t>AKO Tomáš</t>
  </si>
  <si>
    <t>RUMANSKÝ Ondrej</t>
  </si>
  <si>
    <t>CHUDÍK Ivan</t>
  </si>
  <si>
    <t>MATIS Jozef</t>
  </si>
  <si>
    <t>RIEGEL Roman</t>
  </si>
  <si>
    <t>Rovinka</t>
  </si>
  <si>
    <t>Zohor</t>
  </si>
  <si>
    <t>Topoľníky</t>
  </si>
  <si>
    <t>Hubice</t>
  </si>
  <si>
    <t>Nové Zámky</t>
  </si>
  <si>
    <t>Reca</t>
  </si>
  <si>
    <t>Slov. Grob</t>
  </si>
  <si>
    <t>Plav. Podhradie</t>
  </si>
  <si>
    <t>DORIČKA</t>
  </si>
  <si>
    <t>KOVÁČIK</t>
  </si>
  <si>
    <t>BILEVIC</t>
  </si>
  <si>
    <t>VYŠETROVATELIA</t>
  </si>
  <si>
    <t>VYBRANÁ PARTIA 1</t>
  </si>
  <si>
    <t>VYBRANÁ PARTIA 2</t>
  </si>
  <si>
    <t>SLÁDEK Radoslav</t>
  </si>
  <si>
    <t>podpis vedúci zmeny:</t>
  </si>
  <si>
    <t>podpis vedúci odboru:</t>
  </si>
  <si>
    <t>ĎURIANČÍKOVÁ MÁRIA</t>
  </si>
  <si>
    <t>ĎURIANČÍKOVÁ Mária</t>
  </si>
  <si>
    <t>1.DL</t>
  </si>
  <si>
    <t>2.DL</t>
  </si>
  <si>
    <t>Začiatok</t>
  </si>
  <si>
    <t>1:DL</t>
  </si>
  <si>
    <t>2:DL</t>
  </si>
  <si>
    <t>1DL:</t>
  </si>
  <si>
    <t>2DL:</t>
  </si>
  <si>
    <t>dátum 34</t>
  </si>
  <si>
    <t>LIESKOVSKÝ Daniel</t>
  </si>
  <si>
    <t>BENDE Daniel</t>
  </si>
  <si>
    <t>LAURINSKÝ PARTIA</t>
  </si>
  <si>
    <t>Hviezdoslavov</t>
  </si>
  <si>
    <t>Tomášov</t>
  </si>
  <si>
    <t>LAURINSKÝ</t>
  </si>
  <si>
    <t>PEMČÁK Filip</t>
  </si>
  <si>
    <t>AKTUÁLNE!!!</t>
  </si>
  <si>
    <t>Postup:</t>
  </si>
  <si>
    <t>1. Vyber dispečera v rolovacom zozname (pozn.: ak nezozobrazí celý zoznam, tak sa dá posúvať šípkami hore a dole)</t>
  </si>
  <si>
    <t>2. Vyber nástup do zamestnania po dovolenke</t>
  </si>
  <si>
    <t>3. Napíš do lístka dátum dovolenky od - do (pozn.: iba do prvého lístka)</t>
  </si>
  <si>
    <t>4. Skontroluj si, či správne vypísalo tvoje údaje (služobné číslo, miesto pobytu na dovolenke...)</t>
  </si>
  <si>
    <t>6. Vytlač, podpíš, odovzdaj</t>
  </si>
  <si>
    <t>5. Ak ešte čerpáš dovolenku za minulý rok, prepíš rok v kolónke "Žiada o dovolenku na zotavenie za kalendárny rok:"</t>
  </si>
  <si>
    <t>GAÁL Katarína</t>
  </si>
  <si>
    <t>ČECHO Branislav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</si>
</sst>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;@"/>
    <numFmt numFmtId="165" formatCode="dd/mm/yy;@"/>
  </numFmts>
  <fonts count="16" x14ac:knownFonts="1">
    <font>
      <sz val="10"/>
      <name val="Arial"/>
      <charset val="238"/>
    </font>
    <font>
      <sz val="10"/>
      <name val="Arial"/>
      <family val="2"/>
      <charset val="238"/>
    </font>
    <font>
      <b/>
      <sz val="12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sz val="12"/>
      <name val="Arial"/>
      <family val="2"/>
      <charset val="238"/>
    </font>
    <font>
      <sz val="8"/>
      <name val="Arial"/>
      <family val="2"/>
      <charset val="238"/>
    </font>
    <font>
      <sz val="8"/>
      <name val="Arial"/>
      <family val="2"/>
      <charset val="238"/>
    </font>
    <font>
      <b/>
      <sz val="8"/>
      <name val="Arial"/>
      <family val="2"/>
      <charset val="238"/>
    </font>
    <font>
      <i/>
      <sz val="8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sz val="10"/>
      <name val="Times New Roman CE"/>
      <charset val="238"/>
    </font>
    <font>
      <b/>
      <sz val="16"/>
      <name val="Calibri"/>
      <family val="2"/>
      <charset val="238"/>
      <scheme val="minor"/>
    </font>
    <font>
      <b/>
      <sz val="10"/>
      <color theme="1"/>
      <name val="Arial"/>
      <family val="2"/>
      <charset val="238"/>
    </font>
    <font>
      <b/>
      <sz val="12"/>
      <name val="Calibri"/>
      <family val="2"/>
      <charset val="238"/>
      <scheme val="minor"/>
    </font>
    <font>
      <b/>
      <sz val="20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10" fillId="0" borderId="0"/>
    <xf numFmtId="0" fontId="11" fillId="0" borderId="0"/>
  </cellStyleXfs>
  <cellXfs count="13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 applyAlignment="1">
      <alignment horizontal="right"/>
    </xf>
    <xf numFmtId="0" fontId="6" fillId="0" borderId="2" xfId="0" applyFont="1" applyBorder="1"/>
    <xf numFmtId="0" fontId="0" fillId="0" borderId="2" xfId="0" applyBorder="1" applyAlignment="1">
      <alignment horizontal="right"/>
    </xf>
    <xf numFmtId="14" fontId="6" fillId="0" borderId="6" xfId="0" applyNumberFormat="1" applyFont="1" applyBorder="1" applyAlignment="1">
      <alignment horizontal="left"/>
    </xf>
    <xf numFmtId="164" fontId="6" fillId="0" borderId="6" xfId="0" applyNumberFormat="1" applyFont="1" applyBorder="1" applyAlignment="1">
      <alignment horizontal="left"/>
    </xf>
    <xf numFmtId="0" fontId="0" fillId="0" borderId="7" xfId="0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0" fillId="5" borderId="0" xfId="0" applyFill="1"/>
    <xf numFmtId="0" fontId="1" fillId="0" borderId="0" xfId="0" applyFont="1"/>
    <xf numFmtId="0" fontId="1" fillId="0" borderId="0" xfId="0" applyFont="1" applyAlignment="1">
      <alignment vertical="top" wrapText="1"/>
    </xf>
    <xf numFmtId="0" fontId="0" fillId="0" borderId="24" xfId="0" applyBorder="1"/>
    <xf numFmtId="0" fontId="4" fillId="2" borderId="0" xfId="0" applyFont="1" applyFill="1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left"/>
    </xf>
    <xf numFmtId="14" fontId="0" fillId="6" borderId="0" xfId="0" applyNumberFormat="1" applyFill="1"/>
    <xf numFmtId="0" fontId="1" fillId="6" borderId="0" xfId="0" applyFont="1" applyFill="1" applyAlignment="1">
      <alignment horizontal="left"/>
    </xf>
    <xf numFmtId="0" fontId="1" fillId="6" borderId="0" xfId="0" applyFont="1" applyFill="1"/>
    <xf numFmtId="14" fontId="8" fillId="6" borderId="2" xfId="0" applyNumberFormat="1" applyFont="1" applyFill="1" applyBorder="1" applyAlignment="1">
      <alignment horizontal="right"/>
    </xf>
    <xf numFmtId="164" fontId="8" fillId="6" borderId="2" xfId="0" applyNumberFormat="1" applyFont="1" applyFill="1" applyBorder="1" applyAlignment="1">
      <alignment horizontal="right"/>
    </xf>
    <xf numFmtId="0" fontId="0" fillId="6" borderId="1" xfId="0" applyFill="1" applyBorder="1"/>
    <xf numFmtId="0" fontId="1" fillId="6" borderId="2" xfId="0" applyFont="1" applyFill="1" applyBorder="1" applyAlignment="1">
      <alignment horizontal="left"/>
    </xf>
    <xf numFmtId="0" fontId="0" fillId="6" borderId="2" xfId="0" applyFill="1" applyBorder="1"/>
    <xf numFmtId="0" fontId="0" fillId="6" borderId="7" xfId="0" applyFill="1" applyBorder="1"/>
    <xf numFmtId="0" fontId="1" fillId="6" borderId="2" xfId="0" applyFont="1" applyFill="1" applyBorder="1"/>
    <xf numFmtId="0" fontId="1" fillId="6" borderId="7" xfId="0" applyFont="1" applyFill="1" applyBorder="1"/>
    <xf numFmtId="0" fontId="0" fillId="6" borderId="9" xfId="0" applyFill="1" applyBorder="1"/>
    <xf numFmtId="0" fontId="0" fillId="6" borderId="10" xfId="0" applyFill="1" applyBorder="1"/>
    <xf numFmtId="0" fontId="1" fillId="6" borderId="10" xfId="0" applyFont="1" applyFill="1" applyBorder="1"/>
    <xf numFmtId="164" fontId="0" fillId="6" borderId="0" xfId="0" applyNumberFormat="1" applyFill="1"/>
    <xf numFmtId="0" fontId="0" fillId="6" borderId="14" xfId="0" applyFill="1" applyBorder="1"/>
    <xf numFmtId="0" fontId="0" fillId="6" borderId="11" xfId="0" applyFill="1" applyBorder="1"/>
    <xf numFmtId="0" fontId="1" fillId="6" borderId="12" xfId="0" applyFont="1" applyFill="1" applyBorder="1"/>
    <xf numFmtId="0" fontId="0" fillId="6" borderId="12" xfId="0" applyFill="1" applyBorder="1"/>
    <xf numFmtId="0" fontId="1" fillId="6" borderId="13" xfId="0" applyFont="1" applyFill="1" applyBorder="1"/>
    <xf numFmtId="0" fontId="0" fillId="6" borderId="13" xfId="0" applyFill="1" applyBorder="1"/>
    <xf numFmtId="0" fontId="0" fillId="6" borderId="12" xfId="0" applyFill="1" applyBorder="1" applyAlignment="1">
      <alignment horizontal="left"/>
    </xf>
    <xf numFmtId="0" fontId="0" fillId="6" borderId="12" xfId="0" applyFill="1" applyBorder="1" applyAlignment="1">
      <alignment horizontal="right"/>
    </xf>
    <xf numFmtId="2" fontId="0" fillId="6" borderId="0" xfId="0" applyNumberFormat="1" applyFill="1"/>
    <xf numFmtId="1" fontId="0" fillId="6" borderId="0" xfId="0" applyNumberFormat="1" applyFill="1"/>
    <xf numFmtId="0" fontId="0" fillId="6" borderId="8" xfId="0" applyFill="1" applyBorder="1"/>
    <xf numFmtId="0" fontId="0" fillId="6" borderId="15" xfId="0" applyFill="1" applyBorder="1" applyAlignment="1">
      <alignment horizontal="left"/>
    </xf>
    <xf numFmtId="0" fontId="0" fillId="6" borderId="14" xfId="0" applyFill="1" applyBorder="1" applyAlignment="1">
      <alignment horizontal="left"/>
    </xf>
    <xf numFmtId="0" fontId="0" fillId="6" borderId="13" xfId="0" applyFill="1" applyBorder="1" applyAlignment="1">
      <alignment horizontal="left"/>
    </xf>
    <xf numFmtId="1" fontId="1" fillId="6" borderId="10" xfId="0" applyNumberFormat="1" applyFont="1" applyFill="1" applyBorder="1"/>
    <xf numFmtId="0" fontId="0" fillId="6" borderId="27" xfId="0" applyFill="1" applyBorder="1"/>
    <xf numFmtId="0" fontId="1" fillId="6" borderId="28" xfId="0" applyFont="1" applyFill="1" applyBorder="1"/>
    <xf numFmtId="165" fontId="0" fillId="6" borderId="0" xfId="0" applyNumberFormat="1" applyFill="1"/>
    <xf numFmtId="0" fontId="0" fillId="6" borderId="0" xfId="0" applyFill="1" applyAlignment="1">
      <alignment horizontal="center"/>
    </xf>
    <xf numFmtId="164" fontId="6" fillId="0" borderId="6" xfId="0" applyNumberFormat="1" applyFont="1" applyBorder="1" applyAlignment="1" applyProtection="1">
      <alignment horizontal="left"/>
      <protection hidden="1"/>
    </xf>
    <xf numFmtId="0" fontId="13" fillId="4" borderId="2" xfId="0" applyFont="1" applyFill="1" applyBorder="1" applyAlignment="1">
      <alignment horizontal="center"/>
    </xf>
    <xf numFmtId="0" fontId="0" fillId="6" borderId="0" xfId="0" applyFill="1" applyAlignment="1">
      <alignment horizontal="right"/>
    </xf>
    <xf numFmtId="0" fontId="1" fillId="6" borderId="29" xfId="0" applyFont="1" applyFill="1" applyBorder="1"/>
    <xf numFmtId="0" fontId="15" fillId="2" borderId="0" xfId="0" applyFont="1" applyFill="1" applyAlignment="1">
      <alignment horizontal="left"/>
    </xf>
    <xf numFmtId="0" fontId="14" fillId="5" borderId="0" xfId="0" applyFont="1" applyFill="1"/>
    <xf numFmtId="0" fontId="14" fillId="2" borderId="0" xfId="0" applyFont="1" applyFill="1"/>
    <xf numFmtId="14" fontId="12" fillId="2" borderId="0" xfId="0" applyNumberFormat="1" applyFont="1" applyFill="1" applyAlignment="1">
      <alignment horizontal="center"/>
    </xf>
    <xf numFmtId="14" fontId="12" fillId="2" borderId="0" xfId="0" applyNumberFormat="1" applyFont="1" applyFill="1" applyAlignment="1">
      <alignment horizontal="center" vertical="top"/>
    </xf>
    <xf numFmtId="0" fontId="4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0" fillId="0" borderId="19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17" xfId="0" applyBorder="1" applyAlignment="1">
      <alignment horizontal="left"/>
    </xf>
    <xf numFmtId="0" fontId="3" fillId="0" borderId="12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4" borderId="2" xfId="0" applyFill="1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22" xfId="0" applyBorder="1" applyAlignment="1">
      <alignment horizontal="left"/>
    </xf>
    <xf numFmtId="14" fontId="0" fillId="0" borderId="8" xfId="0" applyNumberFormat="1" applyBorder="1" applyAlignment="1">
      <alignment horizontal="center" vertical="center"/>
    </xf>
    <xf numFmtId="14" fontId="0" fillId="0" borderId="15" xfId="0" applyNumberForma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14" fontId="5" fillId="0" borderId="15" xfId="0" applyNumberFormat="1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6" fillId="0" borderId="15" xfId="0" applyFont="1" applyBorder="1" applyAlignment="1">
      <alignment horizontal="left" vertical="top"/>
    </xf>
    <xf numFmtId="0" fontId="6" fillId="0" borderId="14" xfId="0" applyFont="1" applyBorder="1" applyAlignment="1">
      <alignment horizontal="left" vertical="top"/>
    </xf>
    <xf numFmtId="0" fontId="6" fillId="0" borderId="12" xfId="0" applyFont="1" applyBorder="1" applyAlignment="1">
      <alignment horizontal="left" vertical="top"/>
    </xf>
    <xf numFmtId="0" fontId="6" fillId="0" borderId="13" xfId="0" applyFont="1" applyBorder="1" applyAlignment="1">
      <alignment horizontal="left" vertical="top"/>
    </xf>
    <xf numFmtId="20" fontId="9" fillId="0" borderId="6" xfId="0" applyNumberFormat="1" applyFont="1" applyBorder="1" applyAlignment="1">
      <alignment horizontal="center"/>
    </xf>
    <xf numFmtId="20" fontId="9" fillId="0" borderId="21" xfId="0" applyNumberFormat="1" applyFont="1" applyBorder="1" applyAlignment="1">
      <alignment horizontal="center"/>
    </xf>
    <xf numFmtId="20" fontId="9" fillId="0" borderId="25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9" fillId="0" borderId="24" xfId="0" applyFont="1" applyBorder="1" applyAlignment="1">
      <alignment horizontal="left"/>
    </xf>
    <xf numFmtId="0" fontId="9" fillId="0" borderId="4" xfId="0" applyFont="1" applyBorder="1" applyAlignment="1">
      <alignment horizontal="left"/>
    </xf>
    <xf numFmtId="0" fontId="9" fillId="0" borderId="26" xfId="0" applyFont="1" applyBorder="1" applyAlignment="1">
      <alignment horizontal="left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23" xfId="0" applyFont="1" applyBorder="1" applyAlignment="1">
      <alignment horizontal="center"/>
    </xf>
    <xf numFmtId="20" fontId="9" fillId="0" borderId="6" xfId="0" applyNumberFormat="1" applyFont="1" applyBorder="1" applyAlignment="1">
      <alignment horizontal="left"/>
    </xf>
    <xf numFmtId="20" fontId="9" fillId="0" borderId="21" xfId="0" applyNumberFormat="1" applyFont="1" applyBorder="1" applyAlignment="1">
      <alignment horizontal="left"/>
    </xf>
    <xf numFmtId="20" fontId="9" fillId="0" borderId="25" xfId="0" applyNumberFormat="1" applyFont="1" applyBorder="1" applyAlignment="1">
      <alignment horizontal="left"/>
    </xf>
    <xf numFmtId="14" fontId="6" fillId="0" borderId="6" xfId="0" applyNumberFormat="1" applyFont="1" applyBorder="1" applyAlignment="1">
      <alignment horizontal="center"/>
    </xf>
    <xf numFmtId="14" fontId="6" fillId="0" borderId="21" xfId="0" applyNumberFormat="1" applyFont="1" applyBorder="1" applyAlignment="1">
      <alignment horizontal="center"/>
    </xf>
    <xf numFmtId="14" fontId="6" fillId="0" borderId="25" xfId="0" applyNumberFormat="1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14" fontId="4" fillId="0" borderId="2" xfId="0" applyNumberFormat="1" applyFont="1" applyBorder="1" applyAlignment="1">
      <alignment horizontal="center"/>
    </xf>
    <xf numFmtId="14" fontId="4" fillId="0" borderId="7" xfId="0" applyNumberFormat="1" applyFont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3" borderId="2" xfId="0" applyFont="1" applyFill="1" applyBorder="1" applyAlignment="1" applyProtection="1">
      <alignment horizontal="center"/>
      <protection locked="0"/>
    </xf>
    <xf numFmtId="0" fontId="7" fillId="3" borderId="2" xfId="0" applyFont="1" applyFill="1" applyBorder="1" applyAlignment="1" applyProtection="1">
      <alignment horizontal="center"/>
      <protection locked="0"/>
    </xf>
    <xf numFmtId="0" fontId="7" fillId="3" borderId="7" xfId="0" applyFont="1" applyFill="1" applyBorder="1" applyAlignment="1" applyProtection="1">
      <alignment horizontal="center"/>
      <protection locked="0"/>
    </xf>
    <xf numFmtId="0" fontId="0" fillId="6" borderId="0" xfId="0" applyFill="1" applyBorder="1"/>
  </cellXfs>
  <cellStyles count="3">
    <cellStyle name="Normal_Prez.list 2" xfId="2" xr:uid="{02558676-C6C7-4CCF-844A-4EC8E8E2BBCB}"/>
    <cellStyle name="Normálna" xfId="0" builtinId="0"/>
    <cellStyle name="Normálna 2" xfId="1" xr:uid="{6ACCCE40-4CAB-4BE8-AF25-372F488FBD9E}"/>
  </cellStyles>
  <dxfs count="7">
    <dxf>
      <font>
        <color theme="0"/>
      </font>
    </dxf>
    <dxf>
      <font>
        <color theme="0"/>
      </font>
    </dxf>
    <dxf>
      <font>
        <color theme="0"/>
      </font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rgb="FFFF0000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Drop" dropLines="4" dropStyle="combo" dx="22" fmlaLink="$O$9" fmlaRange="$P$2:$P$5" noThreeD="1" sel="2" val="0"/>
</file>

<file path=xl/ctrlProps/ctrlProp2.xml><?xml version="1.0" encoding="utf-8"?>
<formControlPr xmlns="http://schemas.microsoft.com/office/spreadsheetml/2009/9/main" objectType="Drop" dropLines="51" dropStyle="combo" dx="22" fmlaLink="$O$40" fmlaRange="$AP$22:$AP$72" noThreeD="1" sel="1" val="0"/>
</file>

<file path=xl/ctrlProps/ctrlProp3.xml><?xml version="1.0" encoding="utf-8"?>
<formControlPr xmlns="http://schemas.microsoft.com/office/spreadsheetml/2009/9/main" objectType="Drop" dropLines="4" dropStyle="combo" dx="22" fmlaLink="$O$46" fmlaRange="$S$41:$S$44" noThreeD="1" sel="2" val="0"/>
</file>

<file path=xl/ctrlProps/ctrlProp4.xml><?xml version="1.0" encoding="utf-8"?>
<formControlPr xmlns="http://schemas.microsoft.com/office/spreadsheetml/2009/9/main" objectType="Drop" dropLines="10" dropStyle="combo" dx="22" fmlaLink="$O$60" fmlaRange="$P$48:$P$58" noThreeD="1" sel="4" val="0"/>
</file>

<file path=xl/ctrlProps/ctrlProp5.xml><?xml version="1.0" encoding="utf-8"?>
<formControlPr xmlns="http://schemas.microsoft.com/office/spreadsheetml/2009/9/main" objectType="Drop" dropStyle="combo" dx="22" fmlaLink="$Q$55" fmlaRange="$R$48:$R$53" noThreeD="1" sel="2" val="0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1</xdr:row>
      <xdr:rowOff>28575</xdr:rowOff>
    </xdr:from>
    <xdr:to>
      <xdr:col>1</xdr:col>
      <xdr:colOff>428625</xdr:colOff>
      <xdr:row>1</xdr:row>
      <xdr:rowOff>361950</xdr:rowOff>
    </xdr:to>
    <xdr:pic>
      <xdr:nvPicPr>
        <xdr:cNvPr id="1407" name="Obrázok 1">
          <a:extLst>
            <a:ext uri="{FF2B5EF4-FFF2-40B4-BE49-F238E27FC236}">
              <a16:creationId xmlns:a16="http://schemas.microsoft.com/office/drawing/2014/main" id="{E82EC2A1-9193-ECDF-84CF-43986270E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76225"/>
          <a:ext cx="5810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142875</xdr:colOff>
          <xdr:row>2</xdr:row>
          <xdr:rowOff>190500</xdr:rowOff>
        </xdr:from>
        <xdr:to>
          <xdr:col>12</xdr:col>
          <xdr:colOff>1543050</xdr:colOff>
          <xdr:row>4</xdr:row>
          <xdr:rowOff>47625</xdr:rowOff>
        </xdr:to>
        <xdr:sp macro="" textlink="">
          <xdr:nvSpPr>
            <xdr:cNvPr id="1027" name="Drop Dow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142875</xdr:colOff>
          <xdr:row>4</xdr:row>
          <xdr:rowOff>171450</xdr:rowOff>
        </xdr:from>
        <xdr:to>
          <xdr:col>12</xdr:col>
          <xdr:colOff>1543050</xdr:colOff>
          <xdr:row>6</xdr:row>
          <xdr:rowOff>19050</xdr:rowOff>
        </xdr:to>
        <xdr:sp macro="" textlink="">
          <xdr:nvSpPr>
            <xdr:cNvPr id="1031" name="Drop Down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400050</xdr:colOff>
          <xdr:row>50</xdr:row>
          <xdr:rowOff>28575</xdr:rowOff>
        </xdr:from>
        <xdr:to>
          <xdr:col>21</xdr:col>
          <xdr:colOff>47625</xdr:colOff>
          <xdr:row>53</xdr:row>
          <xdr:rowOff>0</xdr:rowOff>
        </xdr:to>
        <xdr:sp macro="" textlink="">
          <xdr:nvSpPr>
            <xdr:cNvPr id="1034" name="Drop Down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66675</xdr:colOff>
          <xdr:row>61</xdr:row>
          <xdr:rowOff>114300</xdr:rowOff>
        </xdr:from>
        <xdr:to>
          <xdr:col>15</xdr:col>
          <xdr:colOff>1352550</xdr:colOff>
          <xdr:row>62</xdr:row>
          <xdr:rowOff>142875</xdr:rowOff>
        </xdr:to>
        <xdr:sp macro="" textlink="">
          <xdr:nvSpPr>
            <xdr:cNvPr id="1035" name="Drop Down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152400</xdr:colOff>
          <xdr:row>6</xdr:row>
          <xdr:rowOff>133350</xdr:rowOff>
        </xdr:from>
        <xdr:to>
          <xdr:col>12</xdr:col>
          <xdr:colOff>1552575</xdr:colOff>
          <xdr:row>7</xdr:row>
          <xdr:rowOff>180975</xdr:rowOff>
        </xdr:to>
        <xdr:sp macro="" textlink="">
          <xdr:nvSpPr>
            <xdr:cNvPr id="1063" name="Drop Down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76200</xdr:colOff>
      <xdr:row>18</xdr:row>
      <xdr:rowOff>19050</xdr:rowOff>
    </xdr:from>
    <xdr:to>
      <xdr:col>1</xdr:col>
      <xdr:colOff>409575</xdr:colOff>
      <xdr:row>18</xdr:row>
      <xdr:rowOff>352425</xdr:rowOff>
    </xdr:to>
    <xdr:pic>
      <xdr:nvPicPr>
        <xdr:cNvPr id="1408" name="Obrázok 1">
          <a:extLst>
            <a:ext uri="{FF2B5EF4-FFF2-40B4-BE49-F238E27FC236}">
              <a16:creationId xmlns:a16="http://schemas.microsoft.com/office/drawing/2014/main" id="{6BFD3EAE-58C7-8FF0-FA27-62D6A89C4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3952875"/>
          <a:ext cx="5715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1587500</xdr:colOff>
      <xdr:row>4</xdr:row>
      <xdr:rowOff>148165</xdr:rowOff>
    </xdr:from>
    <xdr:to>
      <xdr:col>12</xdr:col>
      <xdr:colOff>3291418</xdr:colOff>
      <xdr:row>6</xdr:row>
      <xdr:rowOff>31750</xdr:rowOff>
    </xdr:to>
    <xdr:sp macro="" textlink="">
      <xdr:nvSpPr>
        <xdr:cNvPr id="5" name="BlokTextu 4">
          <a:extLst>
            <a:ext uri="{FF2B5EF4-FFF2-40B4-BE49-F238E27FC236}">
              <a16:creationId xmlns:a16="http://schemas.microsoft.com/office/drawing/2014/main" id="{23F4415B-669A-8856-5F71-0E27DB4784A3}"/>
            </a:ext>
          </a:extLst>
        </xdr:cNvPr>
        <xdr:cNvSpPr txBox="1"/>
      </xdr:nvSpPr>
      <xdr:spPr>
        <a:xfrm>
          <a:off x="6974417" y="1153582"/>
          <a:ext cx="1703918" cy="264585"/>
        </a:xfrm>
        <a:prstGeom prst="rect">
          <a:avLst/>
        </a:prstGeom>
        <a:solidFill>
          <a:srgbClr val="FF00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k-SK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←</a:t>
          </a:r>
          <a:r>
            <a:rPr lang="sk-SK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sk-SK" sz="1200" b="1"/>
            <a:t>VÝBER</a:t>
          </a:r>
          <a:r>
            <a:rPr lang="sk-SK" sz="1200" b="1" baseline="0"/>
            <a:t> DISPEČERA</a:t>
          </a:r>
          <a:endParaRPr lang="sk-SK" sz="1200" b="1"/>
        </a:p>
      </xdr:txBody>
    </xdr:sp>
    <xdr:clientData/>
  </xdr:twoCellAnchor>
  <xdr:twoCellAnchor>
    <xdr:from>
      <xdr:col>12</xdr:col>
      <xdr:colOff>1587498</xdr:colOff>
      <xdr:row>6</xdr:row>
      <xdr:rowOff>137582</xdr:rowOff>
    </xdr:from>
    <xdr:to>
      <xdr:col>12</xdr:col>
      <xdr:colOff>5069416</xdr:colOff>
      <xdr:row>8</xdr:row>
      <xdr:rowOff>52915</xdr:rowOff>
    </xdr:to>
    <xdr:sp macro="" textlink="">
      <xdr:nvSpPr>
        <xdr:cNvPr id="6" name="BlokTextu 5">
          <a:extLst>
            <a:ext uri="{FF2B5EF4-FFF2-40B4-BE49-F238E27FC236}">
              <a16:creationId xmlns:a16="http://schemas.microsoft.com/office/drawing/2014/main" id="{88D97ED3-5BF6-CE12-9A4C-6B6844816EF7}"/>
            </a:ext>
          </a:extLst>
        </xdr:cNvPr>
        <xdr:cNvSpPr txBox="1"/>
      </xdr:nvSpPr>
      <xdr:spPr>
        <a:xfrm>
          <a:off x="6974415" y="1523999"/>
          <a:ext cx="3481918" cy="296333"/>
        </a:xfrm>
        <a:prstGeom prst="rect">
          <a:avLst/>
        </a:prstGeom>
        <a:solidFill>
          <a:srgbClr val="FF00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k-SK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←  NÁSTUP</a:t>
          </a:r>
          <a:r>
            <a:rPr lang="sk-SK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DO ZAMESTNANIA PO DOVOLENKE</a:t>
          </a:r>
          <a:endParaRPr lang="sk-SK" sz="1200"/>
        </a:p>
      </xdr:txBody>
    </xdr:sp>
    <xdr:clientData/>
  </xdr:twoCellAnchor>
</xdr:wsDr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B3EAF-AFFF-4AA7-857D-D1A0BF992BC7}">
  <sheetPr codeName="Hárok1"/>
  <dimension ref="A1:AU138"/>
  <sheetViews>
    <sheetView tabSelected="1" zoomScale="90" zoomScaleNormal="90" workbookViewId="0">
      <selection activeCell="A17" sqref="A17:L17"/>
    </sheetView>
  </sheetViews>
  <sheetFormatPr defaultRowHeight="12.75" x14ac:dyDescent="0.2"/>
  <cols>
    <col min="1" max="1" width="3.5703125" customWidth="1"/>
    <col min="2" max="2" width="9.28515625" customWidth="1"/>
    <col min="3" max="3" width="4.85546875" customWidth="1"/>
    <col min="4" max="4" width="3.7109375" customWidth="1"/>
    <col min="5" max="5" width="9.28515625" customWidth="1"/>
    <col min="6" max="6" width="5.140625" customWidth="1"/>
    <col min="7" max="7" width="10.140625" customWidth="1"/>
    <col min="8" max="8" width="5" customWidth="1"/>
    <col min="9" max="9" width="4.140625" customWidth="1"/>
    <col min="10" max="10" width="6.42578125" customWidth="1"/>
    <col min="11" max="11" width="7" customWidth="1"/>
    <col min="12" max="12" width="11.85546875" customWidth="1"/>
    <col min="13" max="13" width="121.28515625" customWidth="1"/>
    <col min="14" max="14" width="23.140625" customWidth="1"/>
    <col min="15" max="15" width="9.42578125" style="20" customWidth="1"/>
    <col min="16" max="16" width="22.85546875" style="21" customWidth="1"/>
    <col min="17" max="17" width="44.5703125" style="20" customWidth="1"/>
    <col min="18" max="18" width="33.140625" style="20" customWidth="1"/>
    <col min="19" max="19" width="32.5703125" style="20" customWidth="1"/>
    <col min="20" max="20" width="32.85546875" style="20" customWidth="1"/>
    <col min="21" max="21" width="33.140625" style="20" customWidth="1"/>
    <col min="22" max="22" width="12.28515625" style="20" customWidth="1"/>
    <col min="23" max="23" width="9.140625" style="20"/>
    <col min="24" max="24" width="18.140625" style="20" customWidth="1"/>
    <col min="25" max="25" width="8" style="20" customWidth="1"/>
    <col min="26" max="26" width="4.28515625" style="20" customWidth="1"/>
    <col min="27" max="27" width="38.140625" style="20" customWidth="1"/>
    <col min="28" max="28" width="10.7109375" style="20" customWidth="1"/>
    <col min="29" max="29" width="20.5703125" style="20" customWidth="1"/>
    <col min="30" max="31" width="9.140625" style="20"/>
    <col min="32" max="32" width="33.28515625" style="20" customWidth="1"/>
    <col min="33" max="33" width="9.140625" style="20"/>
    <col min="34" max="34" width="20.42578125" style="20" customWidth="1"/>
    <col min="35" max="36" width="9.140625" style="20"/>
    <col min="37" max="37" width="60.85546875" style="20" customWidth="1"/>
    <col min="38" max="38" width="9.140625" style="20"/>
    <col min="39" max="39" width="24.85546875" style="20" customWidth="1"/>
    <col min="40" max="41" width="9.140625" style="20"/>
    <col min="42" max="42" width="35.85546875" style="20" customWidth="1"/>
    <col min="43" max="43" width="9.140625" style="20"/>
    <col min="44" max="44" width="20.42578125" style="20" customWidth="1"/>
    <col min="45" max="45" width="9.140625" style="20"/>
    <col min="46" max="46" width="8.85546875" style="20"/>
    <col min="47" max="47" width="9.140625" style="20"/>
  </cols>
  <sheetData>
    <row r="1" spans="1:44" ht="20.100000000000001" customHeight="1" thickBot="1" x14ac:dyDescent="0.35">
      <c r="A1" s="73" t="str">
        <f>P9</f>
        <v>Dovolenka</v>
      </c>
      <c r="B1" s="73"/>
      <c r="C1" s="73"/>
      <c r="D1" s="73"/>
      <c r="E1" s="73"/>
      <c r="F1" s="73"/>
      <c r="G1" s="73"/>
      <c r="H1" s="73"/>
      <c r="I1" s="73"/>
      <c r="J1" s="73"/>
      <c r="K1" s="73"/>
      <c r="M1" s="12"/>
      <c r="N1" s="15"/>
      <c r="W1" s="20">
        <v>1</v>
      </c>
      <c r="X1" s="22">
        <f ca="1">TODAY()-39</f>
        <v>46174</v>
      </c>
    </row>
    <row r="2" spans="1:44" ht="30" customHeight="1" thickBot="1" x14ac:dyDescent="0.25">
      <c r="A2" s="125" t="s">
        <v>3</v>
      </c>
      <c r="B2" s="126"/>
      <c r="C2" s="126"/>
      <c r="D2" s="126"/>
      <c r="E2" s="126"/>
      <c r="F2" s="126"/>
      <c r="G2" s="126"/>
      <c r="H2" s="126"/>
      <c r="I2" s="126"/>
      <c r="J2" s="126"/>
      <c r="K2" s="127"/>
      <c r="M2" s="12"/>
      <c r="N2" s="15"/>
      <c r="O2" s="20">
        <v>1</v>
      </c>
      <c r="P2" s="21" t="str">
        <f>""</f>
        <v/>
      </c>
      <c r="W2" s="20">
        <v>2</v>
      </c>
      <c r="X2" s="22">
        <f ca="1">TODAY()-38</f>
        <v>46175</v>
      </c>
    </row>
    <row r="3" spans="1:44" ht="15" customHeight="1" x14ac:dyDescent="0.2">
      <c r="A3" s="74" t="s">
        <v>4</v>
      </c>
      <c r="B3" s="75"/>
      <c r="C3" s="75"/>
      <c r="D3" s="75"/>
      <c r="E3" s="75"/>
      <c r="F3" s="76"/>
      <c r="G3" s="74" t="s">
        <v>5</v>
      </c>
      <c r="H3" s="75"/>
      <c r="I3" s="75"/>
      <c r="J3" s="75"/>
      <c r="K3" s="76"/>
      <c r="M3" s="12"/>
      <c r="N3" s="15"/>
      <c r="O3" s="20">
        <v>2</v>
      </c>
      <c r="P3" s="23" t="s">
        <v>0</v>
      </c>
      <c r="Q3" s="20" t="s">
        <v>36</v>
      </c>
      <c r="R3" s="20" t="s">
        <v>11</v>
      </c>
      <c r="S3" s="20" t="s">
        <v>12</v>
      </c>
      <c r="T3" s="20" t="s">
        <v>17</v>
      </c>
      <c r="U3" s="20" t="s">
        <v>20</v>
      </c>
      <c r="W3" s="20">
        <v>3</v>
      </c>
      <c r="X3" s="22">
        <f ca="1">TODAY()-37</f>
        <v>46176</v>
      </c>
      <c r="AA3" s="24" t="s">
        <v>113</v>
      </c>
    </row>
    <row r="4" spans="1:44" ht="15" customHeight="1" thickBot="1" x14ac:dyDescent="0.3">
      <c r="A4" s="115" t="str">
        <f>P40</f>
        <v>AKO Tomáš</v>
      </c>
      <c r="B4" s="116"/>
      <c r="C4" s="116"/>
      <c r="D4" s="116"/>
      <c r="E4" s="116"/>
      <c r="F4" s="117"/>
      <c r="G4" s="115">
        <f>Q40</f>
        <v>14683</v>
      </c>
      <c r="H4" s="116"/>
      <c r="I4" s="116"/>
      <c r="J4" s="116"/>
      <c r="K4" s="117"/>
      <c r="M4" s="12"/>
      <c r="N4" s="15"/>
      <c r="O4" s="20">
        <v>3</v>
      </c>
      <c r="P4" s="23" t="s">
        <v>2</v>
      </c>
      <c r="Q4" s="20" t="s">
        <v>9</v>
      </c>
      <c r="R4" s="20" t="s">
        <v>15</v>
      </c>
      <c r="S4" s="20" t="s">
        <v>13</v>
      </c>
      <c r="T4" s="20" t="s">
        <v>18</v>
      </c>
      <c r="U4" s="20" t="s">
        <v>21</v>
      </c>
      <c r="W4" s="20">
        <v>4</v>
      </c>
      <c r="X4" s="22">
        <f ca="1">TODAY()-36</f>
        <v>46177</v>
      </c>
      <c r="AA4" s="24" t="s">
        <v>114</v>
      </c>
    </row>
    <row r="5" spans="1:44" ht="15" customHeight="1" x14ac:dyDescent="0.2">
      <c r="A5" s="112" t="s">
        <v>6</v>
      </c>
      <c r="B5" s="113"/>
      <c r="C5" s="113"/>
      <c r="D5" s="113"/>
      <c r="E5" s="113"/>
      <c r="F5" s="114"/>
      <c r="G5" s="74" t="s">
        <v>7</v>
      </c>
      <c r="H5" s="75"/>
      <c r="I5" s="75"/>
      <c r="J5" s="75"/>
      <c r="K5" s="76"/>
      <c r="M5" s="12"/>
      <c r="N5" s="15"/>
      <c r="O5" s="20">
        <v>4</v>
      </c>
      <c r="P5" s="23" t="s">
        <v>1</v>
      </c>
      <c r="Q5" s="20" t="s">
        <v>37</v>
      </c>
      <c r="R5" s="20" t="s">
        <v>14</v>
      </c>
      <c r="S5" s="20" t="s">
        <v>16</v>
      </c>
      <c r="T5" s="20" t="s">
        <v>19</v>
      </c>
      <c r="U5" s="20" t="s">
        <v>22</v>
      </c>
      <c r="W5" s="20">
        <v>5</v>
      </c>
      <c r="X5" s="22">
        <f ca="1">TODAY()-35</f>
        <v>46178</v>
      </c>
      <c r="AA5" s="24" t="s">
        <v>115</v>
      </c>
    </row>
    <row r="6" spans="1:44" ht="15" customHeight="1" thickBot="1" x14ac:dyDescent="0.25">
      <c r="A6" s="122" t="str">
        <f>IF(OR(G4=AQ35,G4=AQ43,G4=AQ56,G4=AQ61,G4=AQ64),"referát vyšetrovania nehôd","dopravný dispečing")</f>
        <v>dopravný dispečing</v>
      </c>
      <c r="B6" s="123"/>
      <c r="C6" s="123"/>
      <c r="D6" s="123"/>
      <c r="E6" s="123"/>
      <c r="F6" s="124"/>
      <c r="G6" s="122">
        <f>IF(OR(G4=AQ35,G4=AQ43,G4=AQ56,G4=AQ61,G4=AQ64),2212,2211)</f>
        <v>2211</v>
      </c>
      <c r="H6" s="123"/>
      <c r="I6" s="123"/>
      <c r="J6" s="123"/>
      <c r="K6" s="124"/>
      <c r="M6" s="12"/>
      <c r="N6" s="15"/>
      <c r="W6" s="20">
        <v>6</v>
      </c>
      <c r="X6" s="22">
        <f ca="1">TODAY()-34</f>
        <v>46179</v>
      </c>
      <c r="AA6" s="24" t="s">
        <v>137</v>
      </c>
    </row>
    <row r="7" spans="1:44" ht="15" customHeight="1" thickBot="1" x14ac:dyDescent="0.25">
      <c r="A7" s="77" t="str">
        <f>Q9</f>
        <v>Žiada o dovolenku na zotavenie za kalendárny rok:</v>
      </c>
      <c r="B7" s="78"/>
      <c r="C7" s="78"/>
      <c r="D7" s="78"/>
      <c r="E7" s="78"/>
      <c r="F7" s="78"/>
      <c r="G7" s="78"/>
      <c r="H7" s="79">
        <f ca="1">YEAR(TODAY())</f>
        <v>2026</v>
      </c>
      <c r="I7" s="79"/>
      <c r="J7" s="79"/>
      <c r="K7" s="11"/>
      <c r="M7" s="12"/>
      <c r="N7" s="15"/>
      <c r="W7" s="20">
        <v>7</v>
      </c>
      <c r="X7" s="22">
        <f ca="1">TODAY()-33</f>
        <v>46180</v>
      </c>
      <c r="AA7" s="24" t="s">
        <v>116</v>
      </c>
      <c r="AG7" s="25">
        <v>44288</v>
      </c>
    </row>
    <row r="8" spans="1:44" ht="15" customHeight="1" thickBot="1" x14ac:dyDescent="0.25">
      <c r="A8" s="6" t="s">
        <v>26</v>
      </c>
      <c r="B8" s="118">
        <v>46201</v>
      </c>
      <c r="C8" s="118"/>
      <c r="D8" s="8" t="s">
        <v>27</v>
      </c>
      <c r="E8" s="118">
        <v>46206</v>
      </c>
      <c r="F8" s="119"/>
      <c r="G8" s="7" t="s">
        <v>28</v>
      </c>
      <c r="H8" s="57">
        <f>S87</f>
        <v>4</v>
      </c>
      <c r="I8" s="120" t="str">
        <f>IF(H8&gt;1,"Pracovných zmien","Pracovná zmena")</f>
        <v>Pracovných zmien</v>
      </c>
      <c r="J8" s="120"/>
      <c r="K8" s="121"/>
      <c r="M8" s="12"/>
      <c r="N8" s="15"/>
      <c r="W8" s="20">
        <v>8</v>
      </c>
      <c r="X8" s="22">
        <f ca="1">TODAY()-32</f>
        <v>46181</v>
      </c>
      <c r="AG8" s="26">
        <v>44289</v>
      </c>
    </row>
    <row r="9" spans="1:44" ht="15" customHeight="1" thickBot="1" x14ac:dyDescent="0.25">
      <c r="A9" s="1" t="str">
        <f>R9</f>
        <v>Miesto pobytu na dovolenke:</v>
      </c>
      <c r="B9" s="2"/>
      <c r="C9" s="2"/>
      <c r="D9" s="2"/>
      <c r="E9" s="2"/>
      <c r="F9" s="2"/>
      <c r="G9" s="98" t="str">
        <f>R40</f>
        <v>Hviezdoslavov</v>
      </c>
      <c r="H9" s="98"/>
      <c r="I9" s="98"/>
      <c r="J9" s="98"/>
      <c r="K9" s="99"/>
      <c r="M9" s="12"/>
      <c r="N9" s="15"/>
      <c r="O9" s="20">
        <v>2</v>
      </c>
      <c r="P9" s="21" t="str">
        <f>VLOOKUP(O9,O2:P5,2,FALSE)</f>
        <v>Dovolenka</v>
      </c>
      <c r="Q9" s="20" t="str">
        <f>VLOOKUP(O9,O2:U5,3,FALSE)</f>
        <v>Žiada o dovolenku na zotavenie za kalendárny rok:</v>
      </c>
      <c r="R9" s="20" t="str">
        <f>VLOOKUP(O9,O2:U5,4,FALSE)</f>
        <v>Miesto pobytu na dovolenke:</v>
      </c>
      <c r="S9" s="20" t="str">
        <f>VLOOKUP(O9,O2:U5,5,FALSE)</f>
        <v>Skutočný nástup dovolenky:</v>
      </c>
      <c r="T9" s="20" t="str">
        <f>VLOOKUP(O9,O2:U5,6,FALSE)</f>
        <v>Nástup do zamestnania po dovolenke:</v>
      </c>
      <c r="U9" s="20" t="str">
        <f>VLOOKUP(O9,O2:U5,7,FALSE)</f>
        <v>Z tejto dovolenky sa skutočne čerpalo:</v>
      </c>
      <c r="W9" s="20">
        <v>9</v>
      </c>
      <c r="X9" s="22">
        <f ca="1">TODAY()-31</f>
        <v>46182</v>
      </c>
      <c r="AA9" s="20">
        <v>3</v>
      </c>
    </row>
    <row r="10" spans="1:44" ht="15" customHeight="1" x14ac:dyDescent="0.2">
      <c r="A10" s="83" t="s">
        <v>23</v>
      </c>
      <c r="B10" s="84"/>
      <c r="C10" s="87">
        <f ca="1">TODAY()</f>
        <v>46213</v>
      </c>
      <c r="D10" s="87"/>
      <c r="E10" s="87"/>
      <c r="F10" s="88"/>
      <c r="G10" s="91" t="s">
        <v>24</v>
      </c>
      <c r="H10" s="91"/>
      <c r="I10" s="91"/>
      <c r="J10" s="91"/>
      <c r="K10" s="92"/>
      <c r="M10" s="12"/>
      <c r="N10" s="15"/>
      <c r="O10" s="20">
        <v>2</v>
      </c>
      <c r="P10" s="21" t="str">
        <f>VLOOKUP(O10,O2:P5,2,FALSE)</f>
        <v>Dovolenka</v>
      </c>
      <c r="Q10" s="20" t="str">
        <f>VLOOKUP(O10,O2:U5,3,FALSE)</f>
        <v>Žiada o dovolenku na zotavenie za kalendárny rok:</v>
      </c>
      <c r="R10" s="20" t="str">
        <f>VLOOKUP(O10,O2:U5,4,FALSE)</f>
        <v>Miesto pobytu na dovolenke:</v>
      </c>
      <c r="S10" s="20" t="str">
        <f>VLOOKUP(O10,O2:U5,5,FALSE)</f>
        <v>Skutočný nástup dovolenky:</v>
      </c>
      <c r="T10" s="20" t="str">
        <f>VLOOKUP(O10,O2:U5,6,FALSE)</f>
        <v>Nástup do zamestnania po dovolenke:</v>
      </c>
      <c r="U10" s="20" t="str">
        <f>VLOOKUP(O10,O2:U5,7,FALSE)</f>
        <v>Z tejto dovolenky sa skutočne čerpalo:</v>
      </c>
      <c r="W10" s="20">
        <v>10</v>
      </c>
      <c r="X10" s="22">
        <f ca="1">TODAY()-29</f>
        <v>46184</v>
      </c>
      <c r="AA10" s="20">
        <v>4</v>
      </c>
    </row>
    <row r="11" spans="1:44" ht="15" customHeight="1" thickBot="1" x14ac:dyDescent="0.25">
      <c r="A11" s="85"/>
      <c r="B11" s="86"/>
      <c r="C11" s="89"/>
      <c r="D11" s="89"/>
      <c r="E11" s="89"/>
      <c r="F11" s="90"/>
      <c r="G11" s="93"/>
      <c r="H11" s="93"/>
      <c r="I11" s="93"/>
      <c r="J11" s="93"/>
      <c r="K11" s="94"/>
      <c r="M11" s="19"/>
      <c r="N11" s="15"/>
      <c r="W11" s="20">
        <v>11</v>
      </c>
      <c r="X11" s="22">
        <f ca="1">TODAY()-28</f>
        <v>46185</v>
      </c>
    </row>
    <row r="12" spans="1:44" ht="13.15" customHeight="1" thickBot="1" x14ac:dyDescent="0.25">
      <c r="A12" s="3"/>
      <c r="B12" s="4"/>
      <c r="C12" s="4"/>
      <c r="D12" s="4"/>
      <c r="E12" s="4"/>
      <c r="F12" s="5"/>
      <c r="G12" s="18" t="s">
        <v>23</v>
      </c>
      <c r="H12" s="100" t="s">
        <v>120</v>
      </c>
      <c r="I12" s="101"/>
      <c r="J12" s="101"/>
      <c r="K12" s="102"/>
      <c r="M12" s="19"/>
      <c r="N12" s="15"/>
      <c r="W12" s="20">
        <v>12</v>
      </c>
      <c r="X12" s="22">
        <f ca="1">TODAY()-27</f>
        <v>46186</v>
      </c>
    </row>
    <row r="13" spans="1:44" ht="13.15" customHeight="1" thickBot="1" x14ac:dyDescent="0.25">
      <c r="A13" s="80" t="s">
        <v>25</v>
      </c>
      <c r="B13" s="81"/>
      <c r="C13" s="81"/>
      <c r="D13" s="81"/>
      <c r="E13" s="81"/>
      <c r="F13" s="82"/>
      <c r="G13" s="9">
        <f ca="1">C10</f>
        <v>46213</v>
      </c>
      <c r="H13" s="109"/>
      <c r="I13" s="110"/>
      <c r="J13" s="110"/>
      <c r="K13" s="111"/>
      <c r="M13" s="12"/>
      <c r="N13" s="15"/>
      <c r="O13" s="27"/>
      <c r="P13" s="28" t="s">
        <v>81</v>
      </c>
      <c r="Q13" s="29"/>
      <c r="R13" s="29"/>
      <c r="S13" s="30"/>
      <c r="W13" s="20">
        <v>13</v>
      </c>
      <c r="X13" s="22">
        <f ca="1">TODAY()-26</f>
        <v>46187</v>
      </c>
      <c r="Z13" s="27"/>
      <c r="AA13" s="31" t="s">
        <v>62</v>
      </c>
      <c r="AB13" s="31" t="s">
        <v>65</v>
      </c>
      <c r="AC13" s="32" t="s">
        <v>66</v>
      </c>
      <c r="AE13" s="27"/>
      <c r="AF13" s="31" t="s">
        <v>67</v>
      </c>
      <c r="AG13" s="31" t="s">
        <v>65</v>
      </c>
      <c r="AH13" s="32" t="s">
        <v>66</v>
      </c>
      <c r="AJ13" s="27"/>
      <c r="AK13" s="31" t="s">
        <v>134</v>
      </c>
      <c r="AL13" s="31" t="s">
        <v>65</v>
      </c>
      <c r="AM13" s="32" t="s">
        <v>66</v>
      </c>
      <c r="AO13" s="27"/>
      <c r="AP13" s="31" t="s">
        <v>68</v>
      </c>
      <c r="AQ13" s="31" t="s">
        <v>65</v>
      </c>
      <c r="AR13" s="32" t="s">
        <v>66</v>
      </c>
    </row>
    <row r="14" spans="1:44" ht="13.15" customHeight="1" x14ac:dyDescent="0.2">
      <c r="A14" s="80" t="str">
        <f>S9</f>
        <v>Skutočný nástup dovolenky:</v>
      </c>
      <c r="B14" s="81"/>
      <c r="C14" s="81"/>
      <c r="D14" s="81"/>
      <c r="E14" s="81"/>
      <c r="F14" s="82"/>
      <c r="G14" s="9">
        <f>B8</f>
        <v>46201</v>
      </c>
      <c r="H14" s="106" t="s">
        <v>121</v>
      </c>
      <c r="I14" s="107"/>
      <c r="J14" s="107"/>
      <c r="K14" s="108"/>
      <c r="M14" s="64"/>
      <c r="N14" s="15"/>
      <c r="O14" s="33">
        <v>1</v>
      </c>
      <c r="P14" s="23" t="s">
        <v>55</v>
      </c>
      <c r="Q14" s="20">
        <v>10440</v>
      </c>
      <c r="R14" s="34" t="s">
        <v>43</v>
      </c>
      <c r="W14" s="20">
        <v>14</v>
      </c>
      <c r="X14" s="22">
        <f ca="1">TODAY()-25</f>
        <v>46188</v>
      </c>
      <c r="Z14" s="33">
        <v>1</v>
      </c>
      <c r="AA14" s="20" t="s">
        <v>91</v>
      </c>
      <c r="AB14" s="20">
        <v>14122</v>
      </c>
      <c r="AC14" s="35" t="s">
        <v>105</v>
      </c>
      <c r="AE14" s="33">
        <v>1</v>
      </c>
      <c r="AF14" s="24" t="s">
        <v>133</v>
      </c>
      <c r="AG14" s="20">
        <v>13570</v>
      </c>
      <c r="AH14" s="35" t="s">
        <v>136</v>
      </c>
      <c r="AJ14" s="33">
        <v>1</v>
      </c>
      <c r="AK14" s="20" t="s">
        <v>100</v>
      </c>
      <c r="AL14" s="20">
        <v>14683</v>
      </c>
      <c r="AM14" s="35" t="s">
        <v>135</v>
      </c>
      <c r="AO14" s="33">
        <v>1</v>
      </c>
      <c r="AP14" s="24" t="s">
        <v>122</v>
      </c>
      <c r="AQ14" s="20">
        <v>12368</v>
      </c>
      <c r="AR14" s="35"/>
    </row>
    <row r="15" spans="1:44" ht="13.15" customHeight="1" x14ac:dyDescent="0.2">
      <c r="A15" s="80" t="str">
        <f>T9</f>
        <v>Nástup do zamestnania po dovolenke:</v>
      </c>
      <c r="B15" s="81"/>
      <c r="C15" s="81"/>
      <c r="D15" s="81"/>
      <c r="E15" s="81"/>
      <c r="F15" s="82"/>
      <c r="G15" s="56">
        <f>IF(Q55=1,E8+1,IF(Q55=2,E8+3,E8+4))</f>
        <v>46209</v>
      </c>
      <c r="H15" s="95"/>
      <c r="I15" s="96"/>
      <c r="J15" s="96"/>
      <c r="K15" s="97"/>
      <c r="M15" s="64"/>
      <c r="N15" s="15"/>
      <c r="O15" s="33">
        <v>2</v>
      </c>
      <c r="P15" s="23" t="s">
        <v>60</v>
      </c>
      <c r="Q15" s="20">
        <v>5084</v>
      </c>
      <c r="R15" s="35" t="s">
        <v>43</v>
      </c>
      <c r="W15" s="20">
        <v>15</v>
      </c>
      <c r="X15" s="22">
        <f ca="1">TODAY()-24</f>
        <v>46189</v>
      </c>
      <c r="Z15" s="33">
        <v>2</v>
      </c>
      <c r="AA15" s="20" t="s">
        <v>83</v>
      </c>
      <c r="AB15" s="20">
        <v>5088</v>
      </c>
      <c r="AC15" s="35" t="s">
        <v>43</v>
      </c>
      <c r="AE15" s="33">
        <v>2</v>
      </c>
      <c r="AF15" s="20" t="s">
        <v>72</v>
      </c>
      <c r="AG15" s="20">
        <v>5017</v>
      </c>
      <c r="AH15" s="35" t="s">
        <v>43</v>
      </c>
      <c r="AJ15" s="33">
        <v>2</v>
      </c>
      <c r="AK15" s="20" t="s">
        <v>74</v>
      </c>
      <c r="AL15" s="20">
        <v>5698</v>
      </c>
      <c r="AM15" s="35" t="s">
        <v>43</v>
      </c>
      <c r="AO15" s="33">
        <v>2</v>
      </c>
      <c r="AP15" s="20" t="s">
        <v>41</v>
      </c>
      <c r="AQ15" s="20">
        <v>5202</v>
      </c>
      <c r="AR15" s="35" t="s">
        <v>43</v>
      </c>
    </row>
    <row r="16" spans="1:44" ht="13.15" customHeight="1" thickBot="1" x14ac:dyDescent="0.25">
      <c r="A16" s="70" t="str">
        <f>U9</f>
        <v>Z tejto dovolenky sa skutočne čerpalo:</v>
      </c>
      <c r="B16" s="71"/>
      <c r="C16" s="71"/>
      <c r="D16" s="71"/>
      <c r="E16" s="71"/>
      <c r="F16" s="72"/>
      <c r="G16" s="65">
        <f>H8</f>
        <v>4</v>
      </c>
      <c r="H16" s="66"/>
      <c r="I16" s="67" t="str">
        <f>I8</f>
        <v>Pracovných zmien</v>
      </c>
      <c r="J16" s="68"/>
      <c r="K16" s="105"/>
      <c r="M16" s="12"/>
      <c r="N16" s="15"/>
      <c r="O16" s="33">
        <v>3</v>
      </c>
      <c r="P16" s="23" t="s">
        <v>63</v>
      </c>
      <c r="Q16" s="20">
        <v>5154</v>
      </c>
      <c r="R16" s="35" t="s">
        <v>64</v>
      </c>
      <c r="T16" s="22">
        <f ca="1">X10</f>
        <v>46184</v>
      </c>
      <c r="U16" s="20">
        <v>39</v>
      </c>
      <c r="V16" s="36">
        <f ca="1">VLOOKUP(U16,W1:X102,2,FALSE)</f>
        <v>46213</v>
      </c>
      <c r="W16" s="20">
        <v>16</v>
      </c>
      <c r="X16" s="22">
        <f ca="1">TODAY()-23</f>
        <v>46190</v>
      </c>
      <c r="Z16" s="33">
        <v>3</v>
      </c>
      <c r="AA16" s="20" t="s">
        <v>63</v>
      </c>
      <c r="AB16" s="20">
        <v>5154</v>
      </c>
      <c r="AC16" s="35" t="s">
        <v>64</v>
      </c>
      <c r="AE16" s="33">
        <v>3</v>
      </c>
      <c r="AF16" s="20" t="s">
        <v>74</v>
      </c>
      <c r="AG16" s="20">
        <v>5698</v>
      </c>
      <c r="AH16" s="35" t="s">
        <v>43</v>
      </c>
      <c r="AJ16" s="33">
        <v>3</v>
      </c>
      <c r="AK16" s="20" t="s">
        <v>98</v>
      </c>
      <c r="AL16" s="20">
        <v>13002</v>
      </c>
      <c r="AM16" s="35" t="s">
        <v>43</v>
      </c>
      <c r="AO16" s="33">
        <v>3</v>
      </c>
      <c r="AP16" s="20" t="s">
        <v>103</v>
      </c>
      <c r="AQ16" s="20">
        <v>12039</v>
      </c>
      <c r="AR16" s="35" t="s">
        <v>43</v>
      </c>
    </row>
    <row r="17" spans="1:44" ht="42.6" customHeight="1" x14ac:dyDescent="0.2">
      <c r="A17" s="103" t="s">
        <v>61</v>
      </c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2"/>
      <c r="N17" s="15"/>
      <c r="O17" s="33">
        <v>4</v>
      </c>
      <c r="P17" s="21" t="s">
        <v>45</v>
      </c>
      <c r="Q17" s="20">
        <v>12076</v>
      </c>
      <c r="R17" s="35" t="s">
        <v>64</v>
      </c>
      <c r="W17" s="20">
        <v>17</v>
      </c>
      <c r="X17" s="22">
        <f ca="1">TODAY()-22</f>
        <v>46191</v>
      </c>
      <c r="Z17" s="33">
        <v>4</v>
      </c>
      <c r="AA17" s="20" t="s">
        <v>84</v>
      </c>
      <c r="AB17" s="20">
        <v>5157</v>
      </c>
      <c r="AC17" s="35" t="s">
        <v>106</v>
      </c>
      <c r="AE17" s="33">
        <v>4</v>
      </c>
      <c r="AF17" s="20" t="s">
        <v>69</v>
      </c>
      <c r="AG17" s="20">
        <v>5025</v>
      </c>
      <c r="AH17" s="35" t="s">
        <v>43</v>
      </c>
      <c r="AJ17" s="33">
        <v>4</v>
      </c>
      <c r="AK17" s="20" t="s">
        <v>97</v>
      </c>
      <c r="AL17" s="20">
        <v>9182</v>
      </c>
      <c r="AM17" s="35" t="s">
        <v>43</v>
      </c>
      <c r="AO17" s="33">
        <v>4</v>
      </c>
      <c r="AP17" s="20" t="s">
        <v>104</v>
      </c>
      <c r="AQ17" s="20">
        <v>6476</v>
      </c>
      <c r="AR17" s="35" t="s">
        <v>111</v>
      </c>
    </row>
    <row r="18" spans="1:44" ht="20.100000000000001" customHeight="1" thickBot="1" x14ac:dyDescent="0.35">
      <c r="A18" s="73" t="str">
        <f>P10</f>
        <v>Dovolenka</v>
      </c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16"/>
      <c r="M18" s="12"/>
      <c r="N18" s="15"/>
      <c r="O18" s="33">
        <v>5</v>
      </c>
      <c r="P18" s="21" t="s">
        <v>56</v>
      </c>
      <c r="Q18" s="20">
        <v>5195</v>
      </c>
      <c r="R18" s="34" t="s">
        <v>43</v>
      </c>
      <c r="W18" s="20">
        <v>18</v>
      </c>
      <c r="X18" s="22">
        <f ca="1">TODAY()-21</f>
        <v>46192</v>
      </c>
      <c r="Z18" s="33">
        <v>5</v>
      </c>
      <c r="AA18" s="20" t="s">
        <v>86</v>
      </c>
      <c r="AB18" s="20">
        <v>6838</v>
      </c>
      <c r="AC18" s="35" t="s">
        <v>43</v>
      </c>
      <c r="AE18" s="33">
        <v>5</v>
      </c>
      <c r="AF18" s="20" t="s">
        <v>73</v>
      </c>
      <c r="AG18" s="20">
        <v>13689</v>
      </c>
      <c r="AH18" s="34"/>
      <c r="AJ18" s="33">
        <v>5</v>
      </c>
      <c r="AK18" s="20" t="s">
        <v>78</v>
      </c>
      <c r="AL18" s="20">
        <v>9364</v>
      </c>
      <c r="AM18" s="35" t="s">
        <v>43</v>
      </c>
      <c r="AO18" s="33">
        <v>5</v>
      </c>
      <c r="AP18" s="39" t="s">
        <v>119</v>
      </c>
      <c r="AQ18" s="40">
        <v>1256</v>
      </c>
      <c r="AR18" s="41" t="s">
        <v>43</v>
      </c>
    </row>
    <row r="19" spans="1:44" ht="30" customHeight="1" thickBot="1" x14ac:dyDescent="0.45">
      <c r="A19" s="125" t="s">
        <v>3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7"/>
      <c r="L19" s="16"/>
      <c r="M19" s="60" t="s">
        <v>140</v>
      </c>
      <c r="N19" s="15"/>
      <c r="O19" s="33">
        <v>6</v>
      </c>
      <c r="P19" s="21" t="s">
        <v>57</v>
      </c>
      <c r="Q19" s="20">
        <v>2016</v>
      </c>
      <c r="R19" s="34" t="s">
        <v>43</v>
      </c>
      <c r="T19" s="37">
        <f>AG8-AG7</f>
        <v>1</v>
      </c>
      <c r="W19" s="20">
        <v>19</v>
      </c>
      <c r="X19" s="22">
        <f ca="1">TODAY()-20</f>
        <v>46193</v>
      </c>
      <c r="Z19" s="33">
        <v>6</v>
      </c>
      <c r="AA19" s="20" t="s">
        <v>92</v>
      </c>
      <c r="AB19" s="20">
        <v>5320</v>
      </c>
      <c r="AC19" s="35" t="s">
        <v>107</v>
      </c>
      <c r="AE19" s="33">
        <v>6</v>
      </c>
      <c r="AF19" s="23" t="s">
        <v>60</v>
      </c>
      <c r="AG19" s="20">
        <v>5084</v>
      </c>
      <c r="AH19" s="34" t="s">
        <v>43</v>
      </c>
      <c r="AJ19" s="33">
        <v>6</v>
      </c>
      <c r="AK19" s="20" t="s">
        <v>99</v>
      </c>
      <c r="AL19" s="20">
        <v>13421</v>
      </c>
      <c r="AM19" s="34"/>
      <c r="AO19" s="38"/>
      <c r="AP19" s="39"/>
      <c r="AQ19" s="40"/>
      <c r="AR19" s="41"/>
    </row>
    <row r="20" spans="1:44" ht="15" customHeight="1" thickBot="1" x14ac:dyDescent="0.3">
      <c r="A20" s="74" t="s">
        <v>4</v>
      </c>
      <c r="B20" s="75"/>
      <c r="C20" s="75"/>
      <c r="D20" s="75"/>
      <c r="E20" s="75"/>
      <c r="F20" s="76"/>
      <c r="G20" s="74" t="s">
        <v>5</v>
      </c>
      <c r="H20" s="75"/>
      <c r="I20" s="75"/>
      <c r="J20" s="75"/>
      <c r="K20" s="76"/>
      <c r="L20" s="16"/>
      <c r="M20" s="61" t="s">
        <v>141</v>
      </c>
      <c r="N20" s="15"/>
      <c r="O20" s="33">
        <v>7</v>
      </c>
      <c r="P20" s="23" t="s">
        <v>132</v>
      </c>
      <c r="Q20" s="20">
        <v>16718</v>
      </c>
      <c r="R20" s="34" t="s">
        <v>43</v>
      </c>
      <c r="T20" s="42"/>
      <c r="W20" s="20">
        <v>20</v>
      </c>
      <c r="X20" s="22">
        <f ca="1">TODAY()-19</f>
        <v>46194</v>
      </c>
      <c r="Z20" s="33">
        <v>7</v>
      </c>
      <c r="AA20" s="20" t="s">
        <v>90</v>
      </c>
      <c r="AB20" s="20">
        <v>11914</v>
      </c>
      <c r="AC20" s="35" t="s">
        <v>64</v>
      </c>
      <c r="AE20" s="33">
        <v>7</v>
      </c>
      <c r="AF20" s="20" t="s">
        <v>76</v>
      </c>
      <c r="AG20" s="20">
        <v>13245</v>
      </c>
      <c r="AH20" s="35" t="s">
        <v>43</v>
      </c>
      <c r="AJ20" s="33">
        <v>7</v>
      </c>
      <c r="AK20" s="20" t="s">
        <v>92</v>
      </c>
      <c r="AL20" s="20">
        <v>5320</v>
      </c>
      <c r="AM20" s="35" t="s">
        <v>107</v>
      </c>
    </row>
    <row r="21" spans="1:44" ht="15" customHeight="1" thickBot="1" x14ac:dyDescent="0.3">
      <c r="A21" s="115" t="str">
        <f>A4</f>
        <v>AKO Tomáš</v>
      </c>
      <c r="B21" s="116"/>
      <c r="C21" s="116"/>
      <c r="D21" s="116"/>
      <c r="E21" s="116"/>
      <c r="F21" s="117"/>
      <c r="G21" s="115">
        <f>G4</f>
        <v>14683</v>
      </c>
      <c r="H21" s="116"/>
      <c r="I21" s="116"/>
      <c r="J21" s="116"/>
      <c r="K21" s="117"/>
      <c r="L21" s="16"/>
      <c r="M21" s="62" t="s">
        <v>142</v>
      </c>
      <c r="N21" s="15"/>
      <c r="O21" s="33">
        <v>8</v>
      </c>
      <c r="P21" s="21" t="s">
        <v>46</v>
      </c>
      <c r="Q21" s="20">
        <v>7847</v>
      </c>
      <c r="R21" s="34" t="s">
        <v>43</v>
      </c>
      <c r="U21" s="36">
        <v>40474</v>
      </c>
      <c r="W21" s="20">
        <v>21</v>
      </c>
      <c r="X21" s="22">
        <f ca="1">TODAY()-18</f>
        <v>46195</v>
      </c>
      <c r="Z21" s="33">
        <v>8</v>
      </c>
      <c r="AA21" s="20" t="s">
        <v>88</v>
      </c>
      <c r="AB21" s="20">
        <v>12055</v>
      </c>
      <c r="AC21" s="35" t="s">
        <v>110</v>
      </c>
      <c r="AE21" s="33">
        <v>8</v>
      </c>
      <c r="AF21" s="20" t="s">
        <v>78</v>
      </c>
      <c r="AG21" s="20">
        <v>9364</v>
      </c>
      <c r="AH21" s="35" t="s">
        <v>43</v>
      </c>
      <c r="AJ21" s="33">
        <v>8</v>
      </c>
      <c r="AK21" s="24" t="s">
        <v>71</v>
      </c>
      <c r="AL21" s="20">
        <v>6551</v>
      </c>
      <c r="AM21" s="35" t="s">
        <v>43</v>
      </c>
      <c r="AP21" s="20" t="s">
        <v>139</v>
      </c>
    </row>
    <row r="22" spans="1:44" ht="15" customHeight="1" x14ac:dyDescent="0.25">
      <c r="A22" s="112" t="s">
        <v>6</v>
      </c>
      <c r="B22" s="113"/>
      <c r="C22" s="113"/>
      <c r="D22" s="113"/>
      <c r="E22" s="113"/>
      <c r="F22" s="114"/>
      <c r="G22" s="74" t="s">
        <v>7</v>
      </c>
      <c r="H22" s="75"/>
      <c r="I22" s="75"/>
      <c r="J22" s="75"/>
      <c r="K22" s="76"/>
      <c r="L22" s="16"/>
      <c r="M22" s="62" t="s">
        <v>143</v>
      </c>
      <c r="N22" s="15"/>
      <c r="O22" s="33">
        <v>9</v>
      </c>
      <c r="P22" s="21" t="s">
        <v>44</v>
      </c>
      <c r="Q22" s="20">
        <v>6605</v>
      </c>
      <c r="R22" s="34" t="s">
        <v>49</v>
      </c>
      <c r="W22" s="20">
        <v>22</v>
      </c>
      <c r="X22" s="22">
        <f ca="1">TODAY()-17</f>
        <v>46196</v>
      </c>
      <c r="Z22" s="33">
        <v>9</v>
      </c>
      <c r="AA22" s="20" t="s">
        <v>85</v>
      </c>
      <c r="AB22" s="20">
        <v>10937</v>
      </c>
      <c r="AC22" s="35" t="s">
        <v>108</v>
      </c>
      <c r="AE22" s="33">
        <v>9</v>
      </c>
      <c r="AF22" s="24" t="s">
        <v>70</v>
      </c>
      <c r="AG22" s="20">
        <v>6116</v>
      </c>
      <c r="AH22" s="35" t="s">
        <v>43</v>
      </c>
      <c r="AJ22" s="33">
        <v>9</v>
      </c>
      <c r="AK22" s="20" t="s">
        <v>79</v>
      </c>
      <c r="AL22" s="20">
        <v>10158</v>
      </c>
      <c r="AM22" s="35" t="s">
        <v>109</v>
      </c>
      <c r="AO22" s="47">
        <v>1</v>
      </c>
      <c r="AP22" s="20" t="s">
        <v>100</v>
      </c>
      <c r="AQ22" s="20">
        <v>14683</v>
      </c>
      <c r="AR22" s="35" t="s">
        <v>135</v>
      </c>
    </row>
    <row r="23" spans="1:44" ht="15" customHeight="1" thickBot="1" x14ac:dyDescent="0.3">
      <c r="A23" s="122" t="str">
        <f>A6</f>
        <v>dopravný dispečing</v>
      </c>
      <c r="B23" s="123"/>
      <c r="C23" s="123"/>
      <c r="D23" s="123"/>
      <c r="E23" s="123"/>
      <c r="F23" s="124"/>
      <c r="G23" s="122">
        <f>G6</f>
        <v>2211</v>
      </c>
      <c r="H23" s="123"/>
      <c r="I23" s="123"/>
      <c r="J23" s="123"/>
      <c r="K23" s="124"/>
      <c r="L23" s="17"/>
      <c r="M23" s="62" t="s">
        <v>144</v>
      </c>
      <c r="N23" s="15"/>
      <c r="O23" s="33">
        <v>10</v>
      </c>
      <c r="P23" s="21" t="s">
        <v>47</v>
      </c>
      <c r="Q23" s="20">
        <v>4784</v>
      </c>
      <c r="R23" s="34" t="s">
        <v>43</v>
      </c>
      <c r="W23" s="20">
        <v>23</v>
      </c>
      <c r="X23" s="22">
        <f ca="1">TODAY()-16</f>
        <v>46197</v>
      </c>
      <c r="Z23" s="33">
        <v>10</v>
      </c>
      <c r="AA23" s="20" t="s">
        <v>89</v>
      </c>
      <c r="AB23" s="20">
        <v>8801</v>
      </c>
      <c r="AC23" s="35" t="s">
        <v>43</v>
      </c>
      <c r="AE23" s="33">
        <v>10</v>
      </c>
      <c r="AF23" s="20" t="s">
        <v>77</v>
      </c>
      <c r="AG23" s="20">
        <v>9345</v>
      </c>
      <c r="AH23" s="35" t="s">
        <v>43</v>
      </c>
      <c r="AJ23" s="33">
        <v>10</v>
      </c>
      <c r="AK23" s="20" t="s">
        <v>93</v>
      </c>
      <c r="AL23" s="20">
        <v>6662</v>
      </c>
      <c r="AM23" s="35" t="s">
        <v>43</v>
      </c>
      <c r="AO23" s="33">
        <v>2</v>
      </c>
      <c r="AP23" s="20" t="s">
        <v>72</v>
      </c>
      <c r="AQ23" s="20">
        <v>5017</v>
      </c>
      <c r="AR23" s="35" t="s">
        <v>43</v>
      </c>
    </row>
    <row r="24" spans="1:44" ht="15" customHeight="1" thickBot="1" x14ac:dyDescent="0.3">
      <c r="A24" s="77" t="str">
        <f>Q10</f>
        <v>Žiada o dovolenku na zotavenie za kalendárny rok:</v>
      </c>
      <c r="B24" s="78"/>
      <c r="C24" s="78"/>
      <c r="D24" s="78"/>
      <c r="E24" s="78"/>
      <c r="F24" s="78"/>
      <c r="G24" s="78"/>
      <c r="H24" s="79">
        <f ca="1">H7</f>
        <v>2026</v>
      </c>
      <c r="I24" s="79"/>
      <c r="J24" s="79"/>
      <c r="K24" s="11"/>
      <c r="L24" s="17"/>
      <c r="M24" s="62" t="s">
        <v>146</v>
      </c>
      <c r="N24" s="15"/>
      <c r="O24" s="33">
        <v>11</v>
      </c>
      <c r="P24" s="21" t="s">
        <v>48</v>
      </c>
      <c r="Q24" s="20">
        <v>11547</v>
      </c>
      <c r="R24" s="34" t="s">
        <v>43</v>
      </c>
      <c r="W24" s="20">
        <v>24</v>
      </c>
      <c r="X24" s="22">
        <f ca="1">TODAY()-15</f>
        <v>46198</v>
      </c>
      <c r="Z24" s="33">
        <v>11</v>
      </c>
      <c r="AA24" s="20" t="s">
        <v>138</v>
      </c>
      <c r="AE24" s="33">
        <v>11</v>
      </c>
      <c r="AF24" s="20" t="s">
        <v>94</v>
      </c>
      <c r="AG24" s="20">
        <v>5608</v>
      </c>
      <c r="AH24" s="35" t="s">
        <v>43</v>
      </c>
      <c r="AJ24" s="33">
        <v>11</v>
      </c>
      <c r="AK24" s="20" t="s">
        <v>101</v>
      </c>
      <c r="AL24" s="20">
        <v>5972</v>
      </c>
      <c r="AM24" s="35" t="s">
        <v>43</v>
      </c>
      <c r="AO24" s="33">
        <v>3</v>
      </c>
      <c r="AP24" s="24" t="s">
        <v>133</v>
      </c>
      <c r="AQ24" s="20">
        <v>13570</v>
      </c>
      <c r="AR24" s="35" t="s">
        <v>136</v>
      </c>
    </row>
    <row r="25" spans="1:44" ht="15" customHeight="1" thickBot="1" x14ac:dyDescent="0.3">
      <c r="A25" s="6" t="s">
        <v>26</v>
      </c>
      <c r="B25" s="118">
        <f>B8</f>
        <v>46201</v>
      </c>
      <c r="C25" s="118"/>
      <c r="D25" s="8" t="s">
        <v>27</v>
      </c>
      <c r="E25" s="118">
        <f>E8</f>
        <v>46206</v>
      </c>
      <c r="F25" s="119"/>
      <c r="G25" s="7" t="s">
        <v>28</v>
      </c>
      <c r="H25" s="14">
        <f>H8</f>
        <v>4</v>
      </c>
      <c r="I25" s="128" t="str">
        <f>I8</f>
        <v>Pracovných zmien</v>
      </c>
      <c r="J25" s="129"/>
      <c r="K25" s="130"/>
      <c r="L25" s="17"/>
      <c r="M25" s="62" t="s">
        <v>145</v>
      </c>
      <c r="N25" s="15"/>
      <c r="O25" s="33">
        <v>12</v>
      </c>
      <c r="P25" s="23" t="s">
        <v>82</v>
      </c>
      <c r="Q25" s="58">
        <v>8705</v>
      </c>
      <c r="R25" s="59" t="s">
        <v>43</v>
      </c>
      <c r="T25" s="24"/>
      <c r="W25" s="20">
        <v>25</v>
      </c>
      <c r="X25" s="22">
        <f ca="1">TODAY()-14</f>
        <v>46199</v>
      </c>
      <c r="Z25" s="33">
        <v>12</v>
      </c>
      <c r="AA25" s="20" t="s">
        <v>47</v>
      </c>
      <c r="AB25" s="20">
        <v>4784</v>
      </c>
      <c r="AC25" s="34" t="s">
        <v>43</v>
      </c>
      <c r="AE25" s="33">
        <v>12</v>
      </c>
      <c r="AF25" s="20" t="s">
        <v>80</v>
      </c>
      <c r="AG25" s="20">
        <v>5681</v>
      </c>
      <c r="AH25" s="35" t="s">
        <v>43</v>
      </c>
      <c r="AJ25" s="33">
        <v>12</v>
      </c>
      <c r="AK25" s="20" t="s">
        <v>95</v>
      </c>
      <c r="AL25" s="20">
        <v>10909</v>
      </c>
      <c r="AM25" s="35" t="s">
        <v>43</v>
      </c>
      <c r="AO25" s="33">
        <v>4</v>
      </c>
      <c r="AP25" s="20" t="s">
        <v>74</v>
      </c>
      <c r="AQ25" s="20">
        <v>5698</v>
      </c>
      <c r="AR25" s="35" t="s">
        <v>43</v>
      </c>
    </row>
    <row r="26" spans="1:44" ht="15" customHeight="1" thickBot="1" x14ac:dyDescent="0.25">
      <c r="A26" s="1" t="str">
        <f>R10</f>
        <v>Miesto pobytu na dovolenke:</v>
      </c>
      <c r="B26" s="2"/>
      <c r="C26" s="2"/>
      <c r="D26" s="2"/>
      <c r="E26" s="2"/>
      <c r="F26" s="2"/>
      <c r="G26" s="98" t="str">
        <f>R41</f>
        <v>Bratislava</v>
      </c>
      <c r="H26" s="98"/>
      <c r="I26" s="98"/>
      <c r="J26" s="98"/>
      <c r="K26" s="99"/>
      <c r="L26" s="17"/>
      <c r="M26" s="12"/>
      <c r="N26" s="15"/>
      <c r="O26" s="33">
        <v>13</v>
      </c>
      <c r="P26" s="21" t="s">
        <v>42</v>
      </c>
      <c r="Q26" s="58">
        <v>5698</v>
      </c>
      <c r="R26" s="34" t="s">
        <v>43</v>
      </c>
      <c r="T26" s="24"/>
      <c r="W26" s="20">
        <v>26</v>
      </c>
      <c r="X26" s="22">
        <f ca="1">TODAY()-13</f>
        <v>46200</v>
      </c>
      <c r="Z26" s="33">
        <v>13</v>
      </c>
      <c r="AA26" s="20" t="s">
        <v>42</v>
      </c>
      <c r="AB26" s="44">
        <v>5698</v>
      </c>
      <c r="AC26" s="42" t="s">
        <v>43</v>
      </c>
      <c r="AE26" s="33">
        <v>13</v>
      </c>
      <c r="AF26" s="20" t="s">
        <v>75</v>
      </c>
      <c r="AG26" s="20">
        <v>13657</v>
      </c>
      <c r="AH26" s="35" t="s">
        <v>112</v>
      </c>
      <c r="AJ26" s="33">
        <v>13</v>
      </c>
      <c r="AK26" s="20" t="s">
        <v>80</v>
      </c>
      <c r="AL26" s="20">
        <v>5681</v>
      </c>
      <c r="AM26" s="35" t="s">
        <v>43</v>
      </c>
      <c r="AO26" s="33">
        <v>5</v>
      </c>
      <c r="AP26" s="20" t="s">
        <v>69</v>
      </c>
      <c r="AQ26" s="20">
        <v>5025</v>
      </c>
      <c r="AR26" s="35" t="s">
        <v>43</v>
      </c>
    </row>
    <row r="27" spans="1:44" ht="15" customHeight="1" thickBot="1" x14ac:dyDescent="0.25">
      <c r="A27" s="83" t="s">
        <v>23</v>
      </c>
      <c r="B27" s="84"/>
      <c r="C27" s="87">
        <f ca="1">C10</f>
        <v>46213</v>
      </c>
      <c r="D27" s="87"/>
      <c r="E27" s="87"/>
      <c r="F27" s="88"/>
      <c r="G27" s="91" t="s">
        <v>24</v>
      </c>
      <c r="H27" s="91"/>
      <c r="I27" s="91"/>
      <c r="J27" s="91"/>
      <c r="K27" s="92"/>
      <c r="L27" s="17"/>
      <c r="M27" s="12"/>
      <c r="N27" s="15"/>
      <c r="O27" s="38">
        <v>14</v>
      </c>
      <c r="W27" s="20">
        <v>27</v>
      </c>
      <c r="X27" s="22">
        <f ca="1">TODAY()-12</f>
        <v>46201</v>
      </c>
      <c r="Z27" s="33">
        <v>14</v>
      </c>
      <c r="AE27" s="33">
        <v>14</v>
      </c>
      <c r="AJ27" s="33">
        <v>14</v>
      </c>
      <c r="AK27" s="24"/>
      <c r="AM27" s="35"/>
      <c r="AO27" s="33">
        <v>6</v>
      </c>
      <c r="AP27" s="20" t="s">
        <v>73</v>
      </c>
      <c r="AQ27" s="20">
        <v>13689</v>
      </c>
      <c r="AR27" s="35" t="s">
        <v>136</v>
      </c>
    </row>
    <row r="28" spans="1:44" ht="15" customHeight="1" thickBot="1" x14ac:dyDescent="0.25">
      <c r="A28" s="85"/>
      <c r="B28" s="86"/>
      <c r="C28" s="89"/>
      <c r="D28" s="89"/>
      <c r="E28" s="89"/>
      <c r="F28" s="90"/>
      <c r="G28" s="93"/>
      <c r="H28" s="93"/>
      <c r="I28" s="93"/>
      <c r="J28" s="93"/>
      <c r="K28" s="94"/>
      <c r="L28" s="16"/>
      <c r="M28" s="19"/>
      <c r="N28" s="15"/>
      <c r="W28" s="20">
        <v>28</v>
      </c>
      <c r="X28" s="22">
        <f ca="1">TODAY()-11</f>
        <v>46202</v>
      </c>
      <c r="Z28" s="33"/>
      <c r="AC28" s="34"/>
      <c r="AE28" s="33"/>
      <c r="AH28" s="34"/>
      <c r="AJ28" s="33"/>
      <c r="AM28" s="34"/>
      <c r="AO28" s="33">
        <v>7</v>
      </c>
      <c r="AP28" s="24" t="s">
        <v>87</v>
      </c>
      <c r="AQ28" s="20">
        <v>14542</v>
      </c>
      <c r="AR28" s="35" t="s">
        <v>43</v>
      </c>
    </row>
    <row r="29" spans="1:44" ht="13.15" customHeight="1" x14ac:dyDescent="0.2">
      <c r="A29" s="3"/>
      <c r="B29" s="4"/>
      <c r="C29" s="4"/>
      <c r="D29" s="4"/>
      <c r="E29" s="4"/>
      <c r="F29" s="5"/>
      <c r="G29" s="18" t="s">
        <v>23</v>
      </c>
      <c r="H29" s="100" t="s">
        <v>120</v>
      </c>
      <c r="I29" s="101"/>
      <c r="J29" s="101"/>
      <c r="K29" s="102"/>
      <c r="L29" s="16"/>
      <c r="M29" s="19"/>
      <c r="N29" s="15"/>
      <c r="W29" s="20">
        <v>29</v>
      </c>
      <c r="X29" s="22">
        <f ca="1">TODAY()-10</f>
        <v>46203</v>
      </c>
      <c r="Z29" s="33"/>
      <c r="AA29" s="24" t="s">
        <v>87</v>
      </c>
      <c r="AB29" s="20">
        <v>14542</v>
      </c>
      <c r="AC29" s="35" t="s">
        <v>43</v>
      </c>
      <c r="AE29" s="33"/>
      <c r="AH29" s="34"/>
      <c r="AJ29" s="33"/>
      <c r="AM29" s="34"/>
      <c r="AO29" s="33">
        <v>8</v>
      </c>
      <c r="AP29" s="24" t="s">
        <v>148</v>
      </c>
      <c r="AQ29" s="20">
        <v>10440</v>
      </c>
      <c r="AR29" s="35" t="s">
        <v>43</v>
      </c>
    </row>
    <row r="30" spans="1:44" ht="13.15" customHeight="1" x14ac:dyDescent="0.2">
      <c r="A30" s="80" t="s">
        <v>25</v>
      </c>
      <c r="B30" s="81"/>
      <c r="C30" s="81"/>
      <c r="D30" s="81"/>
      <c r="E30" s="81"/>
      <c r="F30" s="82"/>
      <c r="G30" s="9">
        <f ca="1">C27</f>
        <v>46213</v>
      </c>
      <c r="H30" s="109"/>
      <c r="I30" s="110"/>
      <c r="J30" s="110"/>
      <c r="K30" s="111"/>
      <c r="L30" s="16"/>
      <c r="M30" s="12"/>
      <c r="N30" s="15"/>
      <c r="W30" s="20">
        <v>30</v>
      </c>
      <c r="X30" s="22">
        <f ca="1">TODAY()-9</f>
        <v>46204</v>
      </c>
      <c r="Z30" s="33"/>
      <c r="AC30" s="34"/>
      <c r="AE30" s="33"/>
      <c r="AH30" s="34"/>
      <c r="AJ30" s="33"/>
      <c r="AM30" s="34"/>
      <c r="AO30" s="33">
        <v>9</v>
      </c>
      <c r="AP30" s="23" t="s">
        <v>60</v>
      </c>
      <c r="AQ30" s="20">
        <v>5084</v>
      </c>
      <c r="AR30" s="34" t="s">
        <v>43</v>
      </c>
    </row>
    <row r="31" spans="1:44" ht="13.15" customHeight="1" x14ac:dyDescent="0.2">
      <c r="A31" s="80" t="str">
        <f>S10</f>
        <v>Skutočný nástup dovolenky:</v>
      </c>
      <c r="B31" s="81"/>
      <c r="C31" s="81"/>
      <c r="D31" s="81"/>
      <c r="E31" s="81"/>
      <c r="F31" s="82"/>
      <c r="G31" s="9">
        <f>B25</f>
        <v>46201</v>
      </c>
      <c r="H31" s="106" t="s">
        <v>121</v>
      </c>
      <c r="I31" s="107"/>
      <c r="J31" s="107"/>
      <c r="K31" s="108"/>
      <c r="L31" s="16"/>
      <c r="M31" s="63"/>
      <c r="N31" s="15"/>
      <c r="W31" s="20">
        <v>31</v>
      </c>
      <c r="X31" s="22">
        <f ca="1">TODAY()-8</f>
        <v>46205</v>
      </c>
      <c r="Z31" s="33"/>
      <c r="AC31" s="34"/>
      <c r="AE31" s="33"/>
      <c r="AH31" s="34"/>
      <c r="AJ31" s="33"/>
      <c r="AM31" s="34"/>
      <c r="AO31" s="33">
        <v>10</v>
      </c>
      <c r="AP31" s="20" t="s">
        <v>91</v>
      </c>
      <c r="AQ31" s="20">
        <v>14122</v>
      </c>
      <c r="AR31" s="35" t="s">
        <v>105</v>
      </c>
    </row>
    <row r="32" spans="1:44" ht="13.15" customHeight="1" x14ac:dyDescent="0.2">
      <c r="A32" s="80" t="str">
        <f>T10</f>
        <v>Nástup do zamestnania po dovolenke:</v>
      </c>
      <c r="B32" s="81"/>
      <c r="C32" s="81"/>
      <c r="D32" s="81"/>
      <c r="E32" s="81"/>
      <c r="F32" s="82"/>
      <c r="G32" s="10">
        <f>G15</f>
        <v>46209</v>
      </c>
      <c r="H32" s="95"/>
      <c r="I32" s="96"/>
      <c r="J32" s="96"/>
      <c r="K32" s="97"/>
      <c r="L32" s="16"/>
      <c r="M32" s="63"/>
      <c r="N32" s="15"/>
      <c r="S32" s="24"/>
      <c r="W32" s="20">
        <v>32</v>
      </c>
      <c r="X32" s="22">
        <f ca="1">TODAY()-7</f>
        <v>46206</v>
      </c>
      <c r="Z32" s="33"/>
      <c r="AC32" s="34"/>
      <c r="AE32" s="33"/>
      <c r="AH32" s="34"/>
      <c r="AJ32" s="33"/>
      <c r="AM32" s="34"/>
      <c r="AO32" s="33">
        <v>11</v>
      </c>
      <c r="AP32" s="20" t="s">
        <v>83</v>
      </c>
      <c r="AQ32" s="20">
        <v>5088</v>
      </c>
      <c r="AR32" s="35" t="s">
        <v>43</v>
      </c>
    </row>
    <row r="33" spans="1:44" ht="13.15" customHeight="1" thickBot="1" x14ac:dyDescent="0.25">
      <c r="A33" s="70" t="str">
        <f>U10</f>
        <v>Z tejto dovolenky sa skutočne čerpalo:</v>
      </c>
      <c r="B33" s="71"/>
      <c r="C33" s="71"/>
      <c r="D33" s="71"/>
      <c r="E33" s="71"/>
      <c r="F33" s="72"/>
      <c r="G33" s="65">
        <f>H25</f>
        <v>4</v>
      </c>
      <c r="H33" s="66"/>
      <c r="I33" s="67" t="str">
        <f>I25</f>
        <v>Pracovných zmien</v>
      </c>
      <c r="J33" s="68"/>
      <c r="K33" s="69"/>
      <c r="L33" s="16"/>
      <c r="M33" s="12"/>
      <c r="N33" s="15"/>
      <c r="W33" s="20">
        <v>33</v>
      </c>
      <c r="X33" s="22">
        <f ca="1">TODAY()-6</f>
        <v>46207</v>
      </c>
      <c r="Z33" s="33"/>
      <c r="AC33" s="34"/>
      <c r="AE33" s="33"/>
      <c r="AH33" s="34"/>
      <c r="AJ33" s="33"/>
      <c r="AM33" s="34"/>
      <c r="AO33" s="33">
        <v>12</v>
      </c>
      <c r="AP33" s="20" t="s">
        <v>98</v>
      </c>
      <c r="AQ33" s="20">
        <v>13002</v>
      </c>
      <c r="AR33" s="35" t="s">
        <v>43</v>
      </c>
    </row>
    <row r="34" spans="1:44" ht="13.5" thickBot="1" x14ac:dyDescent="0.25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2"/>
      <c r="N34" s="15"/>
      <c r="W34" s="20">
        <v>34</v>
      </c>
      <c r="X34" s="22">
        <f ca="1">TODAY()-5</f>
        <v>46208</v>
      </c>
      <c r="Z34" s="38"/>
      <c r="AA34" s="40"/>
      <c r="AB34" s="40"/>
      <c r="AC34" s="42"/>
      <c r="AE34" s="38"/>
      <c r="AF34" s="40"/>
      <c r="AG34" s="40"/>
      <c r="AH34" s="42"/>
      <c r="AJ34" s="38"/>
      <c r="AK34" s="40"/>
      <c r="AL34" s="40"/>
      <c r="AM34" s="42"/>
      <c r="AO34" s="33">
        <v>13</v>
      </c>
      <c r="AP34" s="20" t="s">
        <v>76</v>
      </c>
      <c r="AQ34" s="20">
        <v>13245</v>
      </c>
      <c r="AR34" s="35" t="s">
        <v>43</v>
      </c>
    </row>
    <row r="35" spans="1:44" x14ac:dyDescent="0.2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2"/>
      <c r="N35" s="15"/>
      <c r="W35" s="20">
        <v>35</v>
      </c>
      <c r="X35" s="22">
        <f ca="1">TODAY()-4</f>
        <v>46209</v>
      </c>
      <c r="AO35" s="33">
        <v>14</v>
      </c>
      <c r="AP35" s="24" t="s">
        <v>122</v>
      </c>
      <c r="AQ35" s="20">
        <v>12368</v>
      </c>
      <c r="AR35" s="35" t="s">
        <v>43</v>
      </c>
    </row>
    <row r="36" spans="1:44" x14ac:dyDescent="0.2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2"/>
      <c r="N36" s="15"/>
      <c r="W36" s="20">
        <v>36</v>
      </c>
      <c r="X36" s="22">
        <f ca="1">TODAY()-3</f>
        <v>46210</v>
      </c>
      <c r="AO36" s="33">
        <v>15</v>
      </c>
      <c r="AP36" s="131" t="s">
        <v>147</v>
      </c>
      <c r="AQ36" s="58">
        <v>14373</v>
      </c>
      <c r="AR36" s="35" t="s">
        <v>43</v>
      </c>
    </row>
    <row r="37" spans="1:44" ht="13.5" thickBot="1" x14ac:dyDescent="0.25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2"/>
      <c r="N37" s="15"/>
      <c r="W37" s="20">
        <v>37</v>
      </c>
      <c r="X37" s="22">
        <f ca="1">TODAY()-2</f>
        <v>46211</v>
      </c>
      <c r="AK37" s="45"/>
      <c r="AO37" s="33">
        <v>16</v>
      </c>
      <c r="AP37" s="20" t="s">
        <v>97</v>
      </c>
      <c r="AQ37" s="20">
        <v>9182</v>
      </c>
      <c r="AR37" s="35" t="s">
        <v>43</v>
      </c>
    </row>
    <row r="38" spans="1:44" ht="13.5" thickBot="1" x14ac:dyDescent="0.2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2"/>
      <c r="N38" s="15"/>
      <c r="W38" s="20">
        <v>38</v>
      </c>
      <c r="X38" s="22">
        <f ca="1">TODAY()-1</f>
        <v>46212</v>
      </c>
      <c r="Z38" s="27"/>
      <c r="AA38" s="31" t="s">
        <v>117</v>
      </c>
      <c r="AB38" s="31" t="s">
        <v>65</v>
      </c>
      <c r="AC38" s="32" t="s">
        <v>66</v>
      </c>
      <c r="AE38" s="27"/>
      <c r="AF38" s="31" t="s">
        <v>118</v>
      </c>
      <c r="AG38" s="31" t="s">
        <v>65</v>
      </c>
      <c r="AH38" s="32" t="s">
        <v>66</v>
      </c>
      <c r="AK38" s="45" t="s">
        <v>57</v>
      </c>
      <c r="AL38" s="46">
        <v>3</v>
      </c>
      <c r="AM38" s="20">
        <f>IF(AL38=0,100,IF(AL38&gt;29,AL38-29,AL38+7))</f>
        <v>10</v>
      </c>
      <c r="AO38" s="33">
        <v>17</v>
      </c>
      <c r="AP38" s="23" t="s">
        <v>63</v>
      </c>
      <c r="AQ38" s="20">
        <v>5154</v>
      </c>
      <c r="AR38" s="35" t="s">
        <v>64</v>
      </c>
    </row>
    <row r="39" spans="1:44" ht="13.5" thickBot="1" x14ac:dyDescent="0.25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2"/>
      <c r="N39" s="15"/>
      <c r="U39" s="22">
        <f ca="1">X54</f>
        <v>46228</v>
      </c>
      <c r="W39" s="20">
        <v>39</v>
      </c>
      <c r="X39" s="22">
        <f ca="1">TODAY()</f>
        <v>46213</v>
      </c>
      <c r="Z39" s="33">
        <v>1</v>
      </c>
      <c r="AA39" s="20" t="str">
        <f>IF($AA$9=1,$AA$29,IF($AA$9=2,$P$14,IF($AA$9=3,$AF$14,IF($AA$9=4,AK14,AP14))))</f>
        <v>BENDE Daniel</v>
      </c>
      <c r="AB39" s="20">
        <f>IF($AA$9=1,AB29,IF($AA$9=2,Q14,IF($AA$9=3,AG14,IF($AA$9=4,AL14,AQ14))))</f>
        <v>13570</v>
      </c>
      <c r="AC39" s="34" t="str">
        <f>IF($AA$9=1,AC29,IF($AA$9=2,R14,IF($AA$9=3,AH14,IF($AA$9=4,AM14,AR14))))</f>
        <v>Tomášov</v>
      </c>
      <c r="AE39" s="33">
        <v>1</v>
      </c>
      <c r="AF39" s="20" t="str">
        <f>IF($AA$10=1,AA29,IF($AA$10=2,P14,IF($AA$10=3,AF14,IF($AA$10=4,AK14,AP14))))</f>
        <v>AKO Tomáš</v>
      </c>
      <c r="AG39" s="20">
        <f>IF($AA$10=1,AB29,IF($AA$10=2,Q14,IF($AA$10=3,AG14,IF($AA$10=4,AL14,AQ14))))</f>
        <v>14683</v>
      </c>
      <c r="AH39" s="34" t="str">
        <f>IF($AA$10=1,AC29,IF($AA$10=2,R14,IF($AA$10=3,AH14,IF($AA$10=4,AM14,AR14))))</f>
        <v>Hviezdoslavov</v>
      </c>
      <c r="AK39" s="45" t="s">
        <v>56</v>
      </c>
      <c r="AL39" s="46">
        <v>23</v>
      </c>
      <c r="AM39" s="20">
        <f t="shared" ref="AM39:AM89" si="0">IF(AL39=0,100,IF(AL39&gt;29,AL39-29,AL39+7))</f>
        <v>30</v>
      </c>
      <c r="AO39" s="33">
        <v>18</v>
      </c>
      <c r="AP39" s="21" t="s">
        <v>45</v>
      </c>
      <c r="AQ39" s="20">
        <v>12076</v>
      </c>
      <c r="AR39" s="35" t="s">
        <v>64</v>
      </c>
    </row>
    <row r="40" spans="1:44" ht="28.5" customHeight="1" x14ac:dyDescent="0.2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5"/>
      <c r="N40" s="15"/>
      <c r="O40" s="47">
        <v>1</v>
      </c>
      <c r="P40" s="48" t="str">
        <f>VLOOKUP(O40,AO22:AP72,2,FALSE)</f>
        <v>AKO Tomáš</v>
      </c>
      <c r="Q40" s="48">
        <f>VLOOKUP(P40,AP22:AQ72,2,FALSE)</f>
        <v>14683</v>
      </c>
      <c r="R40" s="49" t="str">
        <f>VLOOKUP(Q40,AQ22:AR72,2,FALSE)</f>
        <v>Hviezdoslavov</v>
      </c>
      <c r="S40" s="20" t="e">
        <f>VLOOKUP(O40,O14:R27,5)</f>
        <v>#REF!</v>
      </c>
      <c r="W40" s="20">
        <v>40</v>
      </c>
      <c r="X40" s="22">
        <f ca="1">TODAY()+1</f>
        <v>46214</v>
      </c>
      <c r="Z40" s="33">
        <v>2</v>
      </c>
      <c r="AA40" s="20" t="str">
        <f t="shared" ref="AA40:AA49" si="1">IF($AA$9=1,AA14,IF($AA$9=2,P15,IF($AA$9=3,AF15,IF($AA$9=4,AK15,AP15))))</f>
        <v>BĚLOHOUBEK Peter</v>
      </c>
      <c r="AB40" s="20">
        <f t="shared" ref="AB40:AB49" si="2">IF($AA$9=1,AB14,IF($AA$9=2,Q15,IF($AA$9=3,AG15,IF($AA$9=4,AL15,AQ15))))</f>
        <v>5017</v>
      </c>
      <c r="AC40" s="34" t="str">
        <f t="shared" ref="AC40:AC49" si="3">IF($AA$9=1,AC14,IF($AA$9=2,R15,IF($AA$9=3,AH15,IF($AA$9=4,AM15,AR15))))</f>
        <v>Bratislava</v>
      </c>
      <c r="AE40" s="33">
        <v>2</v>
      </c>
      <c r="AF40" s="20" t="str">
        <f t="shared" ref="AF40:AF49" si="4">IF($AA$10=1,AA14,IF($AA$10=2,P15,IF($AA$10=3,AF15,IF($AA$10=4,AK15,AP15))))</f>
        <v>BÍLENNÝ Juraj</v>
      </c>
      <c r="AG40" s="20">
        <f t="shared" ref="AG40:AG49" si="5">IF($AA$10=1,AB14,IF($AA$10=2,Q15,IF($AA$10=3,AG15,IF($AA$10=4,AL15,AQ15))))</f>
        <v>5698</v>
      </c>
      <c r="AH40" s="34" t="str">
        <f t="shared" ref="AH40:AH49" si="6">IF($AA$10=1,AC14,IF($AA$10=2,R15,IF($AA$10=3,AH15,IF($AA$10=4,AM15,AR15))))</f>
        <v>Bratislava</v>
      </c>
      <c r="AK40" s="21" t="s">
        <v>55</v>
      </c>
      <c r="AL40" s="46">
        <v>35</v>
      </c>
      <c r="AM40" s="20">
        <f t="shared" si="0"/>
        <v>6</v>
      </c>
      <c r="AO40" s="33">
        <v>19</v>
      </c>
      <c r="AP40" s="131" t="s">
        <v>84</v>
      </c>
      <c r="AQ40" s="131">
        <v>5157</v>
      </c>
      <c r="AR40" s="35" t="s">
        <v>106</v>
      </c>
    </row>
    <row r="41" spans="1:44" ht="13.5" thickBot="1" x14ac:dyDescent="0.25">
      <c r="A41" s="12"/>
      <c r="B41" s="12"/>
      <c r="C41" s="12"/>
      <c r="D41" s="12"/>
      <c r="E41" s="12"/>
      <c r="F41" s="12"/>
      <c r="G41" s="12"/>
      <c r="H41" s="13"/>
      <c r="I41" s="13"/>
      <c r="J41" s="13"/>
      <c r="K41" s="12"/>
      <c r="L41" s="12"/>
      <c r="M41" s="15"/>
      <c r="N41" s="15"/>
      <c r="O41" s="38">
        <v>3</v>
      </c>
      <c r="P41" s="43" t="str">
        <f>VLOOKUP(O41,AE39:AF52,2,FALSE)</f>
        <v>DOROTOVIČ Maroš</v>
      </c>
      <c r="Q41" s="43">
        <f>VLOOKUP(P41,AF39:AG52,2,FALSE)</f>
        <v>13002</v>
      </c>
      <c r="R41" s="50" t="str">
        <f>VLOOKUP(Q41,AG39:AH52,2,FALSE)</f>
        <v>Bratislava</v>
      </c>
      <c r="S41" s="20" t="e">
        <f>VLOOKUP(O41,O14:R27,5)</f>
        <v>#REF!</v>
      </c>
      <c r="W41" s="20">
        <v>41</v>
      </c>
      <c r="X41" s="22">
        <f ca="1">TODAY()+2</f>
        <v>46215</v>
      </c>
      <c r="Z41" s="33">
        <v>3</v>
      </c>
      <c r="AA41" s="20" t="str">
        <f t="shared" si="1"/>
        <v>BÍLENNÝ Juraj</v>
      </c>
      <c r="AB41" s="20">
        <f t="shared" si="2"/>
        <v>5698</v>
      </c>
      <c r="AC41" s="34" t="str">
        <f t="shared" si="3"/>
        <v>Bratislava</v>
      </c>
      <c r="AE41" s="33">
        <v>3</v>
      </c>
      <c r="AF41" s="20" t="str">
        <f t="shared" si="4"/>
        <v>DOROTOVIČ Maroš</v>
      </c>
      <c r="AG41" s="20">
        <f t="shared" si="5"/>
        <v>13002</v>
      </c>
      <c r="AH41" s="34" t="str">
        <f t="shared" si="6"/>
        <v>Bratislava</v>
      </c>
      <c r="AK41" s="21" t="s">
        <v>58</v>
      </c>
      <c r="AL41" s="51">
        <v>7</v>
      </c>
      <c r="AM41" s="20">
        <f t="shared" si="0"/>
        <v>14</v>
      </c>
      <c r="AO41" s="33">
        <v>20</v>
      </c>
      <c r="AP41" s="20" t="s">
        <v>78</v>
      </c>
      <c r="AQ41" s="20">
        <v>9364</v>
      </c>
      <c r="AR41" s="35" t="s">
        <v>43</v>
      </c>
    </row>
    <row r="42" spans="1:44" x14ac:dyDescent="0.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5"/>
      <c r="N42" s="15"/>
      <c r="R42" s="20">
        <v>2</v>
      </c>
      <c r="S42" s="20" t="s">
        <v>8</v>
      </c>
      <c r="W42" s="20">
        <v>42</v>
      </c>
      <c r="X42" s="22">
        <f ca="1">TODAY()+3</f>
        <v>46216</v>
      </c>
      <c r="Z42" s="33">
        <v>4</v>
      </c>
      <c r="AA42" s="20" t="str">
        <f t="shared" si="1"/>
        <v>BILEVIC Viliam</v>
      </c>
      <c r="AB42" s="20">
        <f t="shared" si="2"/>
        <v>5025</v>
      </c>
      <c r="AC42" s="34" t="str">
        <f t="shared" si="3"/>
        <v>Bratislava</v>
      </c>
      <c r="AE42" s="33">
        <v>4</v>
      </c>
      <c r="AF42" s="20" t="str">
        <f t="shared" si="4"/>
        <v>GAZÁREK Vladimír</v>
      </c>
      <c r="AG42" s="20">
        <f t="shared" si="5"/>
        <v>9182</v>
      </c>
      <c r="AH42" s="34" t="str">
        <f t="shared" si="6"/>
        <v>Bratislava</v>
      </c>
      <c r="AK42" s="20" t="s">
        <v>44</v>
      </c>
      <c r="AL42" s="51">
        <v>27</v>
      </c>
      <c r="AM42" s="20">
        <f t="shared" si="0"/>
        <v>34</v>
      </c>
      <c r="AO42" s="33">
        <v>21</v>
      </c>
      <c r="AP42" s="21" t="s">
        <v>56</v>
      </c>
      <c r="AQ42" s="20">
        <v>5195</v>
      </c>
      <c r="AR42" s="34" t="s">
        <v>43</v>
      </c>
    </row>
    <row r="43" spans="1:44" ht="13.5" thickBot="1" x14ac:dyDescent="0.2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5"/>
      <c r="N43" s="15"/>
      <c r="R43" s="20">
        <v>3</v>
      </c>
      <c r="S43" s="20" t="s">
        <v>9</v>
      </c>
      <c r="U43" s="22"/>
      <c r="W43" s="20">
        <v>43</v>
      </c>
      <c r="X43" s="22">
        <f ca="1">TODAY()+4</f>
        <v>46217</v>
      </c>
      <c r="Z43" s="33">
        <v>5</v>
      </c>
      <c r="AA43" s="20" t="str">
        <f t="shared" si="1"/>
        <v>BUMBALA Štefan</v>
      </c>
      <c r="AB43" s="20">
        <f t="shared" si="2"/>
        <v>13689</v>
      </c>
      <c r="AC43" s="34">
        <f t="shared" si="3"/>
        <v>0</v>
      </c>
      <c r="AE43" s="33">
        <v>5</v>
      </c>
      <c r="AF43" s="20" t="str">
        <f t="shared" si="4"/>
        <v>HUJO Martin</v>
      </c>
      <c r="AG43" s="20">
        <f t="shared" si="5"/>
        <v>9364</v>
      </c>
      <c r="AH43" s="34" t="str">
        <f t="shared" si="6"/>
        <v>Bratislava</v>
      </c>
      <c r="AK43" s="21" t="s">
        <v>59</v>
      </c>
      <c r="AL43" s="46">
        <v>15</v>
      </c>
      <c r="AM43" s="20">
        <f t="shared" si="0"/>
        <v>22</v>
      </c>
      <c r="AO43" s="33">
        <v>22</v>
      </c>
      <c r="AP43" s="20" t="s">
        <v>41</v>
      </c>
      <c r="AQ43" s="40">
        <v>5202</v>
      </c>
      <c r="AR43" s="41" t="s">
        <v>43</v>
      </c>
    </row>
    <row r="44" spans="1:44" x14ac:dyDescent="0.2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5"/>
      <c r="N44" s="15"/>
      <c r="R44" s="20">
        <v>4</v>
      </c>
      <c r="S44" s="20" t="s">
        <v>10</v>
      </c>
      <c r="W44" s="20">
        <v>44</v>
      </c>
      <c r="X44" s="22">
        <f ca="1">TODAY()+5</f>
        <v>46218</v>
      </c>
      <c r="Z44" s="33">
        <v>6</v>
      </c>
      <c r="AA44" s="20" t="str">
        <f t="shared" si="1"/>
        <v>DOBCSÁNYIOVÁ Iveta</v>
      </c>
      <c r="AB44" s="20">
        <f t="shared" si="2"/>
        <v>5084</v>
      </c>
      <c r="AC44" s="34" t="str">
        <f t="shared" si="3"/>
        <v>Bratislava</v>
      </c>
      <c r="AE44" s="33">
        <v>6</v>
      </c>
      <c r="AF44" s="20" t="str">
        <f t="shared" si="4"/>
        <v>KÁČER Dušan</v>
      </c>
      <c r="AG44" s="20">
        <f t="shared" si="5"/>
        <v>13421</v>
      </c>
      <c r="AH44" s="34">
        <f t="shared" si="6"/>
        <v>0</v>
      </c>
      <c r="AK44" s="20" t="s">
        <v>48</v>
      </c>
      <c r="AL44" s="46">
        <v>19</v>
      </c>
      <c r="AM44" s="20">
        <f t="shared" si="0"/>
        <v>26</v>
      </c>
      <c r="AO44" s="33">
        <v>23</v>
      </c>
      <c r="AP44" s="20" t="s">
        <v>99</v>
      </c>
      <c r="AQ44" s="131">
        <v>13421</v>
      </c>
      <c r="AR44" s="34"/>
    </row>
    <row r="45" spans="1:44" x14ac:dyDescent="0.2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5"/>
      <c r="N45" s="15"/>
      <c r="W45" s="20">
        <v>45</v>
      </c>
      <c r="X45" s="22">
        <f ca="1">TODAY()+6</f>
        <v>46219</v>
      </c>
      <c r="Z45" s="33">
        <v>7</v>
      </c>
      <c r="AA45" s="20" t="str">
        <f t="shared" si="1"/>
        <v>DUJČÍK František</v>
      </c>
      <c r="AB45" s="20">
        <f t="shared" si="2"/>
        <v>13245</v>
      </c>
      <c r="AC45" s="34" t="str">
        <f t="shared" si="3"/>
        <v>Bratislava</v>
      </c>
      <c r="AE45" s="33">
        <v>7</v>
      </c>
      <c r="AF45" s="20" t="str">
        <f t="shared" si="4"/>
        <v>KUZMOVÁ Edita</v>
      </c>
      <c r="AG45" s="20">
        <f t="shared" si="5"/>
        <v>5320</v>
      </c>
      <c r="AH45" s="34" t="str">
        <f t="shared" si="6"/>
        <v>Topoľníky</v>
      </c>
      <c r="AK45" s="20" t="s">
        <v>46</v>
      </c>
      <c r="AL45" s="46">
        <v>31</v>
      </c>
      <c r="AM45" s="20">
        <f t="shared" si="0"/>
        <v>2</v>
      </c>
      <c r="AO45" s="33">
        <v>24</v>
      </c>
      <c r="AP45" s="20" t="s">
        <v>86</v>
      </c>
      <c r="AQ45" s="20">
        <v>6838</v>
      </c>
      <c r="AR45" s="35" t="s">
        <v>43</v>
      </c>
    </row>
    <row r="46" spans="1:44" ht="26.25" customHeight="1" x14ac:dyDescent="0.2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5"/>
      <c r="N46" s="15"/>
      <c r="O46" s="20">
        <v>2</v>
      </c>
      <c r="P46" s="21" t="str">
        <f>VLOOKUP(O46,R41:S44,2,FALSE)</f>
        <v>Žiada o dovolenku na zotavenie za rok:</v>
      </c>
      <c r="W46" s="20">
        <v>46</v>
      </c>
      <c r="X46" s="22">
        <f ca="1">TODAY()+7</f>
        <v>46220</v>
      </c>
      <c r="Z46" s="33">
        <v>8</v>
      </c>
      <c r="AA46" s="20" t="str">
        <f t="shared" si="1"/>
        <v>HUJO Martin</v>
      </c>
      <c r="AB46" s="20">
        <f t="shared" si="2"/>
        <v>9364</v>
      </c>
      <c r="AC46" s="34" t="str">
        <f t="shared" si="3"/>
        <v>Bratislava</v>
      </c>
      <c r="AE46" s="33">
        <v>8</v>
      </c>
      <c r="AF46" s="20" t="str">
        <f t="shared" si="4"/>
        <v>LAURINSKÝ Jozef</v>
      </c>
      <c r="AG46" s="20">
        <f t="shared" si="5"/>
        <v>6551</v>
      </c>
      <c r="AH46" s="34" t="str">
        <f t="shared" si="6"/>
        <v>Bratislava</v>
      </c>
      <c r="AK46" s="20" t="s">
        <v>45</v>
      </c>
      <c r="AL46" s="46">
        <v>11</v>
      </c>
      <c r="AM46" s="20">
        <f t="shared" si="0"/>
        <v>18</v>
      </c>
      <c r="AO46" s="33">
        <v>25</v>
      </c>
      <c r="AP46" s="21" t="s">
        <v>57</v>
      </c>
      <c r="AQ46" s="20">
        <v>2016</v>
      </c>
      <c r="AR46" s="34" t="s">
        <v>43</v>
      </c>
    </row>
    <row r="47" spans="1:44" x14ac:dyDescent="0.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5"/>
      <c r="N47" s="15"/>
      <c r="W47" s="20">
        <v>47</v>
      </c>
      <c r="X47" s="22">
        <f ca="1">TODAY()+8</f>
        <v>46221</v>
      </c>
      <c r="Z47" s="33">
        <v>9</v>
      </c>
      <c r="AA47" s="20" t="str">
        <f>IF($AA$9=1,AA21,IF($AA$9=2,P22,IF($AA$9=3,AF22,IF($AA$9=4,AK22,#REF!))))</f>
        <v>MIZERA Martin</v>
      </c>
      <c r="AB47" s="20">
        <f>IF($AA$9=1,AB21,IF($AA$9=2,Q22,IF($AA$9=3,AG22,IF($AA$9=4,AL22,#REF!))))</f>
        <v>6116</v>
      </c>
      <c r="AC47" s="34" t="str">
        <f>IF($AA$9=1,AC21,IF($AA$9=2,R22,IF($AA$9=3,AH22,IF($AA$9=4,AM22,#REF!))))</f>
        <v>Bratislava</v>
      </c>
      <c r="AE47" s="33">
        <v>9</v>
      </c>
      <c r="AF47" s="20" t="str">
        <f>IF($AA$10=1,AA21,IF($AA$10=2,P22,IF($AA$10=3,AF22,IF($AA$10=4,AK22,#REF!))))</f>
        <v>MADA Richard</v>
      </c>
      <c r="AG47" s="20">
        <f>IF($AA$10=1,AB21,IF($AA$10=2,Q22,IF($AA$10=3,AG22,IF($AA$10=4,AL22,#REF!))))</f>
        <v>10158</v>
      </c>
      <c r="AH47" s="34" t="str">
        <f>IF($AA$10=1,AC21,IF($AA$10=2,R22,IF($AA$10=3,AH22,IF($AA$10=4,AM22,#REF!))))</f>
        <v>Nové Zámky</v>
      </c>
      <c r="AK47" s="20" t="s">
        <v>69</v>
      </c>
      <c r="AL47" s="20">
        <v>4</v>
      </c>
      <c r="AM47" s="20">
        <f t="shared" si="0"/>
        <v>11</v>
      </c>
      <c r="AO47" s="33">
        <v>26</v>
      </c>
      <c r="AP47" s="20" t="s">
        <v>92</v>
      </c>
      <c r="AQ47" s="20">
        <v>5320</v>
      </c>
      <c r="AR47" s="35" t="s">
        <v>107</v>
      </c>
    </row>
    <row r="48" spans="1:44" x14ac:dyDescent="0.2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5"/>
      <c r="N48" s="15"/>
      <c r="O48" s="20">
        <v>1</v>
      </c>
      <c r="Q48" s="20">
        <v>1</v>
      </c>
      <c r="R48" s="24" t="s">
        <v>50</v>
      </c>
      <c r="S48" s="24">
        <v>1</v>
      </c>
      <c r="W48" s="20">
        <v>48</v>
      </c>
      <c r="X48" s="22">
        <f ca="1">TODAY()+9</f>
        <v>46222</v>
      </c>
      <c r="Z48" s="33">
        <v>10</v>
      </c>
      <c r="AA48" s="20" t="str">
        <f>IF($AA$9=1,AA22,IF($AA$9=2,P23,IF($AA$9=3,AF23,IF($AA$9=4,AK23,AP22))))</f>
        <v>RYBIANSKÝ Ivan</v>
      </c>
      <c r="AB48" s="20">
        <f>IF($AA$9=1,AB22,IF($AA$9=2,Q23,IF($AA$9=3,AG23,IF($AA$9=4,AL23,AQ22))))</f>
        <v>9345</v>
      </c>
      <c r="AC48" s="34" t="str">
        <f>IF($AA$9=1,AC22,IF($AA$9=2,R23,IF($AA$9=3,AH23,IF($AA$9=4,AM23,AR22))))</f>
        <v>Bratislava</v>
      </c>
      <c r="AE48" s="33">
        <v>10</v>
      </c>
      <c r="AF48" s="20" t="str">
        <f>IF($AA$10=1,AA22,IF($AA$10=2,P23,IF($AA$10=3,AF23,IF($AA$10=4,AK23,AP22))))</f>
        <v>MÜLLER Mário</v>
      </c>
      <c r="AG48" s="20">
        <f>IF($AA$10=1,AB22,IF($AA$10=2,Q23,IF($AA$10=3,AG23,IF($AA$10=4,AL23,AQ22))))</f>
        <v>6662</v>
      </c>
      <c r="AH48" s="34" t="str">
        <f>IF($AA$10=1,AC22,IF($AA$10=2,R23,IF($AA$10=3,AH23,IF($AA$10=4,AM23,AR22))))</f>
        <v>Bratislava</v>
      </c>
      <c r="AK48" s="20" t="s">
        <v>94</v>
      </c>
      <c r="AL48" s="20">
        <v>32</v>
      </c>
      <c r="AM48" s="20">
        <f t="shared" si="0"/>
        <v>3</v>
      </c>
      <c r="AO48" s="33">
        <v>27</v>
      </c>
      <c r="AP48" s="20" t="s">
        <v>90</v>
      </c>
      <c r="AQ48" s="20">
        <v>11914</v>
      </c>
      <c r="AR48" s="35" t="s">
        <v>64</v>
      </c>
    </row>
    <row r="49" spans="1:44" x14ac:dyDescent="0.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5"/>
      <c r="N49" s="15"/>
      <c r="O49" s="20">
        <v>2</v>
      </c>
      <c r="P49" s="21" t="s">
        <v>38</v>
      </c>
      <c r="Q49" s="20">
        <v>2</v>
      </c>
      <c r="R49" s="24" t="s">
        <v>51</v>
      </c>
      <c r="S49" s="24">
        <v>3</v>
      </c>
      <c r="W49" s="20">
        <v>49</v>
      </c>
      <c r="X49" s="22">
        <f ca="1">TODAY()+10</f>
        <v>46223</v>
      </c>
      <c r="Z49" s="33">
        <v>11</v>
      </c>
      <c r="AA49" s="20" t="str">
        <f>IF($AA$9=1,AA23,IF($AA$9=2,P24,IF($AA$9=3,AF24,IF($AA$9=4,AK24,AP23))))</f>
        <v>SZALAY Ľuboš</v>
      </c>
      <c r="AB49" s="20">
        <f>IF($AA$9=1,AB23,IF($AA$9=2,Q24,IF($AA$9=3,AG24,IF($AA$9=4,AL24,AQ23))))</f>
        <v>5608</v>
      </c>
      <c r="AC49" s="34" t="str">
        <f>IF($AA$9=1,AC23,IF($AA$9=2,R24,IF($AA$9=3,AH24,IF($AA$9=4,AM24,AR23))))</f>
        <v>Bratislava</v>
      </c>
      <c r="AE49" s="33">
        <v>11</v>
      </c>
      <c r="AF49" s="20" t="str">
        <f>IF($AA$10=1,AA23,IF($AA$10=2,P24,IF($AA$10=3,AF24,IF($AA$10=4,AK24,AP23))))</f>
        <v>RUMANSKÝ Ondrej</v>
      </c>
      <c r="AG49" s="20">
        <f>IF($AA$10=1,AB23,IF($AA$10=2,Q24,IF($AA$10=3,AG24,IF($AA$10=4,AL24,AQ23))))</f>
        <v>5972</v>
      </c>
      <c r="AH49" s="34" t="str">
        <f>IF($AA$10=1,AC23,IF($AA$10=2,R24,IF($AA$10=3,AH24,IF($AA$10=4,AM24,AR23))))</f>
        <v>Bratislava</v>
      </c>
      <c r="AK49" s="20" t="s">
        <v>71</v>
      </c>
      <c r="AL49" s="20">
        <v>24</v>
      </c>
      <c r="AM49" s="20">
        <f t="shared" si="0"/>
        <v>31</v>
      </c>
      <c r="AO49" s="33">
        <v>28</v>
      </c>
      <c r="AP49" s="20" t="s">
        <v>88</v>
      </c>
      <c r="AQ49" s="20">
        <v>12055</v>
      </c>
      <c r="AR49" s="35" t="s">
        <v>110</v>
      </c>
    </row>
    <row r="50" spans="1:44" x14ac:dyDescent="0.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5"/>
      <c r="N50" s="15"/>
      <c r="O50" s="20">
        <v>3</v>
      </c>
      <c r="P50" s="21" t="s">
        <v>32</v>
      </c>
      <c r="Q50" s="20">
        <v>3</v>
      </c>
      <c r="R50" s="24" t="s">
        <v>52</v>
      </c>
      <c r="S50" s="24">
        <v>4</v>
      </c>
      <c r="W50" s="20">
        <v>50</v>
      </c>
      <c r="X50" s="22">
        <f ca="1">TODAY()+11</f>
        <v>46224</v>
      </c>
      <c r="Z50" s="33">
        <v>12</v>
      </c>
      <c r="AA50" s="20" t="str">
        <f>IF($AA$9=1,AA25,IF($AA$9=2,P26,IF($AA$9=3,AF25,IF($AA$9=4,AK25,AP24))))</f>
        <v>VUKOV Roman</v>
      </c>
      <c r="AB50" s="20">
        <f>IF($AA$9=1,AB25,IF($AA$9=2,Q26,IF($AA$9=3,AG25,IF($AA$9=4,AL25,AQ24))))</f>
        <v>5681</v>
      </c>
      <c r="AC50" s="34" t="str">
        <f>IF($AA$9=1,AC25,IF($AA$9=2,R26,IF($AA$9=3,AH25,IF($AA$9=4,AM25,AR24))))</f>
        <v>Bratislava</v>
      </c>
      <c r="AE50" s="33">
        <v>12</v>
      </c>
      <c r="AF50" s="20" t="str">
        <f>IF($AA$10=1,AA25,IF($AA$10=2,P26,IF($AA$10=3,AF25,IF($AA$10=4,AK25,AP24))))</f>
        <v>SZALAYOVÁ Eva</v>
      </c>
      <c r="AG50" s="20">
        <f>IF($AA$10=1,AB25,IF($AA$10=2,Q26,IF($AA$10=3,AG25,IF($AA$10=4,AL25,AQ24))))</f>
        <v>10909</v>
      </c>
      <c r="AH50" s="34" t="str">
        <f>IF($AA$10=1,AC25,IF($AA$10=2,R26,IF($AA$10=3,AH25,IF($AA$10=4,AM25,AR24))))</f>
        <v>Bratislava</v>
      </c>
      <c r="AK50" s="20" t="s">
        <v>72</v>
      </c>
      <c r="AL50" s="20">
        <v>28</v>
      </c>
      <c r="AM50" s="20">
        <f t="shared" si="0"/>
        <v>35</v>
      </c>
      <c r="AO50" s="33">
        <v>29</v>
      </c>
      <c r="AP50" s="24" t="s">
        <v>71</v>
      </c>
      <c r="AQ50" s="20">
        <v>6551</v>
      </c>
      <c r="AR50" s="35" t="s">
        <v>43</v>
      </c>
    </row>
    <row r="51" spans="1:44" x14ac:dyDescent="0.2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>
        <v>4</v>
      </c>
      <c r="P51" s="21" t="s">
        <v>29</v>
      </c>
      <c r="Q51" s="20">
        <v>4</v>
      </c>
      <c r="W51" s="20">
        <v>51</v>
      </c>
      <c r="X51" s="22">
        <f ca="1">TODAY()+12</f>
        <v>46225</v>
      </c>
      <c r="Z51" s="33">
        <v>13</v>
      </c>
      <c r="AA51" s="20" t="e">
        <f>IF($AA$9=1,#REF!,IF($AA$9=2,P25,IF($AA$9=3,#REF!,IF($AA$9=4,AK26,AP25))))</f>
        <v>#REF!</v>
      </c>
      <c r="AB51" s="20" t="e">
        <f>IF($AA$9=1,#REF!,IF($AA$9=2,Q25,IF($AA$9=3,#REF!,IF($AA$9=4,AL26,AQ25))))</f>
        <v>#REF!</v>
      </c>
      <c r="AC51" s="34" t="e">
        <f>IF($AA$9=1,#REF!,IF($AA$9=2,R25,IF($AA$9=3,#REF!,IF($AA$9=4,AM26,AR25))))</f>
        <v>#REF!</v>
      </c>
      <c r="AE51" s="33">
        <v>13</v>
      </c>
      <c r="AF51" s="20" t="str">
        <f>IF($AA$10=1,#REF!,IF($AA$10=2,P25,IF($AA$10=3,#REF!,IF($AA$10=4,AK26,AP25))))</f>
        <v>VUKOV Roman</v>
      </c>
      <c r="AG51" s="20">
        <f>IF($AA$10=1,#REF!,IF($AA$10=2,Q25,IF($AA$10=3,#REF!,IF($AA$10=4,AL26,AQ25))))</f>
        <v>5681</v>
      </c>
      <c r="AH51" s="34" t="str">
        <f>IF($AA$10=1,#REF!,IF($AA$10=2,R25,IF($AA$10=3,#REF!,IF($AA$10=4,AM26,AR25))))</f>
        <v>Bratislava</v>
      </c>
      <c r="AK51" s="20" t="s">
        <v>73</v>
      </c>
      <c r="AL51" s="20">
        <v>16</v>
      </c>
      <c r="AM51" s="20">
        <f t="shared" si="0"/>
        <v>23</v>
      </c>
      <c r="AO51" s="33">
        <v>30</v>
      </c>
      <c r="AP51" s="20" t="s">
        <v>85</v>
      </c>
      <c r="AQ51" s="20">
        <v>10937</v>
      </c>
      <c r="AR51" s="35" t="s">
        <v>108</v>
      </c>
    </row>
    <row r="52" spans="1:44" ht="13.5" thickBot="1" x14ac:dyDescent="0.25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>
        <v>5</v>
      </c>
      <c r="P52" s="21" t="s">
        <v>33</v>
      </c>
      <c r="Q52" s="20">
        <v>5</v>
      </c>
      <c r="W52" s="20">
        <v>52</v>
      </c>
      <c r="X52" s="22">
        <f ca="1">TODAY()+13</f>
        <v>46226</v>
      </c>
      <c r="Z52" s="38">
        <v>14</v>
      </c>
      <c r="AA52" s="40" t="str">
        <f>IF($AA$9=1,AA26,IF($AA$9=2,#REF!,IF($AA$9=3,AF26,IF($AA$9=4,AK27,#REF!))))</f>
        <v>ŽILINSKÝ Ján</v>
      </c>
      <c r="AB52" s="40">
        <f>IF($AA$9=1,AB26,IF($AA$9=2,#REF!,IF($AA$9=3,AG26,IF($AA$9=4,AL27,#REF!))))</f>
        <v>13657</v>
      </c>
      <c r="AC52" s="42" t="str">
        <f>IF($AA$9=1,AC26,IF($AA$9=2,#REF!,IF($AA$9=3,AH26,IF($AA$9=4,AM27,#REF!))))</f>
        <v>Plav. Podhradie</v>
      </c>
      <c r="AE52" s="38">
        <v>14</v>
      </c>
      <c r="AF52" s="40">
        <f>IF($AA$10=1,AA26,IF($AA$10=2,#REF!,IF($AA$10=3,AF26,IF($AA$10=4,AK27,#REF!))))</f>
        <v>0</v>
      </c>
      <c r="AG52" s="40">
        <f>IF($AA$10=1,AB26,IF($AA$10=2,#REF!,IF($AA$10=3,AG26,IF($AA$10=4,AL27,#REF!))))</f>
        <v>0</v>
      </c>
      <c r="AH52" s="42">
        <f>IF($AA$10=1,AC26,IF($AA$10=2,#REF!,IF($AA$10=3,AH26,IF($AA$10=4,AM27,#REF!))))</f>
        <v>0</v>
      </c>
      <c r="AK52" s="20" t="s">
        <v>82</v>
      </c>
      <c r="AL52" s="20">
        <v>12</v>
      </c>
      <c r="AM52" s="20">
        <f t="shared" si="0"/>
        <v>19</v>
      </c>
      <c r="AO52" s="33">
        <v>31</v>
      </c>
      <c r="AP52" s="23" t="s">
        <v>132</v>
      </c>
      <c r="AQ52" s="20">
        <v>16718</v>
      </c>
      <c r="AR52" s="34" t="s">
        <v>43</v>
      </c>
    </row>
    <row r="53" spans="1:44" x14ac:dyDescent="0.2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>
        <v>6</v>
      </c>
      <c r="P53" s="21" t="s">
        <v>34</v>
      </c>
      <c r="Q53" s="20">
        <v>6</v>
      </c>
      <c r="W53" s="20">
        <v>53</v>
      </c>
      <c r="X53" s="22">
        <f ca="1">TODAY()+14</f>
        <v>46227</v>
      </c>
      <c r="AK53" s="20" t="s">
        <v>75</v>
      </c>
      <c r="AL53" s="20">
        <v>20</v>
      </c>
      <c r="AM53" s="20">
        <f t="shared" si="0"/>
        <v>27</v>
      </c>
      <c r="AO53" s="33">
        <v>32</v>
      </c>
      <c r="AP53" s="20" t="s">
        <v>89</v>
      </c>
      <c r="AQ53" s="20">
        <v>8801</v>
      </c>
      <c r="AR53" s="35" t="s">
        <v>43</v>
      </c>
    </row>
    <row r="54" spans="1:44" x14ac:dyDescent="0.2">
      <c r="A54" s="20"/>
      <c r="B54" s="20"/>
      <c r="C54" s="20"/>
      <c r="D54" s="20"/>
      <c r="E54" s="54"/>
      <c r="F54" s="20"/>
      <c r="G54" s="20"/>
      <c r="H54" s="20"/>
      <c r="I54" s="20"/>
      <c r="J54" s="20"/>
      <c r="K54" s="20"/>
      <c r="L54" s="20"/>
      <c r="M54" s="20"/>
      <c r="N54" s="20"/>
      <c r="O54" s="20">
        <v>7</v>
      </c>
      <c r="P54" s="21" t="s">
        <v>30</v>
      </c>
      <c r="W54" s="20">
        <v>54</v>
      </c>
      <c r="X54" s="22">
        <f ca="1">TODAY()+15</f>
        <v>46228</v>
      </c>
      <c r="AK54" s="20" t="s">
        <v>76</v>
      </c>
      <c r="AL54" s="20">
        <v>8</v>
      </c>
      <c r="AM54" s="20">
        <f t="shared" si="0"/>
        <v>15</v>
      </c>
      <c r="AO54" s="33">
        <v>33</v>
      </c>
      <c r="AP54" s="20" t="s">
        <v>79</v>
      </c>
      <c r="AQ54" s="20">
        <v>10158</v>
      </c>
      <c r="AR54" s="35" t="s">
        <v>109</v>
      </c>
    </row>
    <row r="55" spans="1:44" x14ac:dyDescent="0.2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>
        <v>8</v>
      </c>
      <c r="P55" s="21" t="s">
        <v>40</v>
      </c>
      <c r="Q55" s="20">
        <v>2</v>
      </c>
      <c r="R55" s="20" t="str">
        <f>VLOOKUP(Q55,Q48:R53,2,FALSE)</f>
        <v>2 dni voľno</v>
      </c>
      <c r="S55" s="20">
        <f>VLOOKUP(Q55,Q48:S50,3)</f>
        <v>3</v>
      </c>
      <c r="W55" s="20">
        <v>55</v>
      </c>
      <c r="X55" s="22">
        <f ca="1">TODAY()+16</f>
        <v>46229</v>
      </c>
      <c r="AK55" s="20" t="s">
        <v>77</v>
      </c>
      <c r="AL55" s="20">
        <v>36</v>
      </c>
      <c r="AM55" s="20">
        <f t="shared" si="0"/>
        <v>7</v>
      </c>
      <c r="AO55" s="33">
        <v>34</v>
      </c>
      <c r="AP55" s="21" t="s">
        <v>46</v>
      </c>
      <c r="AQ55" s="20">
        <v>7847</v>
      </c>
      <c r="AR55" s="34" t="s">
        <v>43</v>
      </c>
    </row>
    <row r="56" spans="1:44" x14ac:dyDescent="0.2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>
        <v>9</v>
      </c>
      <c r="P56" s="21" t="s">
        <v>39</v>
      </c>
      <c r="Q56" s="20">
        <v>1</v>
      </c>
      <c r="R56" s="20" t="str">
        <f>VLOOKUP(Q56,Q48:R53,2,FALSE)</f>
        <v>Následujúci deň</v>
      </c>
      <c r="S56" s="20">
        <f>VLOOKUP(Q56,Q48:S50,3)</f>
        <v>1</v>
      </c>
      <c r="W56" s="20">
        <v>56</v>
      </c>
      <c r="X56" s="22">
        <f ca="1">TODAY()+17</f>
        <v>46230</v>
      </c>
      <c r="AK56" s="20" t="s">
        <v>70</v>
      </c>
      <c r="AL56" s="20">
        <v>25</v>
      </c>
      <c r="AM56" s="20">
        <f t="shared" si="0"/>
        <v>32</v>
      </c>
      <c r="AO56" s="33">
        <v>35</v>
      </c>
      <c r="AP56" s="20" t="s">
        <v>103</v>
      </c>
      <c r="AQ56" s="20">
        <v>12039</v>
      </c>
      <c r="AR56" s="35" t="s">
        <v>43</v>
      </c>
    </row>
    <row r="57" spans="1:44" x14ac:dyDescent="0.2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>
        <v>10</v>
      </c>
      <c r="P57" s="21" t="s">
        <v>35</v>
      </c>
      <c r="T57" s="20">
        <v>1</v>
      </c>
      <c r="U57" s="24" t="s">
        <v>53</v>
      </c>
      <c r="W57" s="20">
        <v>57</v>
      </c>
      <c r="X57" s="22">
        <f ca="1">TODAY()+18</f>
        <v>46231</v>
      </c>
      <c r="AK57" s="20" t="s">
        <v>101</v>
      </c>
      <c r="AL57" s="20">
        <v>29</v>
      </c>
      <c r="AM57" s="20">
        <f t="shared" si="0"/>
        <v>36</v>
      </c>
      <c r="AO57" s="33">
        <v>36</v>
      </c>
      <c r="AP57" s="24" t="s">
        <v>70</v>
      </c>
      <c r="AQ57" s="131">
        <v>6116</v>
      </c>
      <c r="AR57" s="35" t="s">
        <v>43</v>
      </c>
    </row>
    <row r="58" spans="1:44" x14ac:dyDescent="0.2">
      <c r="A58" s="20"/>
      <c r="B58" s="20"/>
      <c r="C58" s="20"/>
      <c r="D58" s="20"/>
      <c r="E58" s="20"/>
      <c r="F58" s="20"/>
      <c r="G58" s="20"/>
      <c r="H58" s="20"/>
      <c r="I58" s="55"/>
      <c r="J58" s="55"/>
      <c r="K58" s="20"/>
      <c r="L58" s="20"/>
      <c r="M58" s="20"/>
      <c r="N58" s="20"/>
      <c r="P58" s="21" t="s">
        <v>31</v>
      </c>
      <c r="T58" s="20">
        <v>2</v>
      </c>
      <c r="U58" s="24" t="s">
        <v>54</v>
      </c>
      <c r="W58" s="20">
        <v>58</v>
      </c>
      <c r="X58" s="22">
        <f ca="1">TODAY()+19</f>
        <v>46232</v>
      </c>
      <c r="AK58" s="20" t="s">
        <v>79</v>
      </c>
      <c r="AL58" s="20">
        <v>0</v>
      </c>
      <c r="AM58" s="20">
        <f t="shared" si="0"/>
        <v>100</v>
      </c>
      <c r="AO58" s="33">
        <v>37</v>
      </c>
      <c r="AP58" s="20" t="s">
        <v>93</v>
      </c>
      <c r="AQ58" s="20">
        <v>6662</v>
      </c>
      <c r="AR58" s="35" t="s">
        <v>43</v>
      </c>
    </row>
    <row r="59" spans="1:44" x14ac:dyDescent="0.2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W59" s="20">
        <v>59</v>
      </c>
      <c r="X59" s="22">
        <f ca="1">TODAY()+20</f>
        <v>46233</v>
      </c>
      <c r="AH59" s="24" t="s">
        <v>126</v>
      </c>
      <c r="AI59" s="46">
        <v>45931</v>
      </c>
      <c r="AK59" s="20" t="s">
        <v>96</v>
      </c>
      <c r="AL59" s="20">
        <v>17</v>
      </c>
      <c r="AM59" s="20">
        <f t="shared" si="0"/>
        <v>24</v>
      </c>
      <c r="AO59" s="33">
        <v>38</v>
      </c>
      <c r="AP59" s="20" t="s">
        <v>138</v>
      </c>
      <c r="AQ59" s="20">
        <v>17160</v>
      </c>
      <c r="AR59" s="35" t="s">
        <v>43</v>
      </c>
    </row>
    <row r="60" spans="1:44" x14ac:dyDescent="0.2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>
        <v>4</v>
      </c>
      <c r="P60" s="21" t="str">
        <f>VLOOKUP(O60,O48:P57,2,FALSE)</f>
        <v>pracovných zmien</v>
      </c>
      <c r="T60" s="20">
        <v>1</v>
      </c>
      <c r="U60" s="20" t="str">
        <f>VLOOKUP(T60,T57:U58,2,FALSE)</f>
        <v>Bez 34</v>
      </c>
      <c r="W60" s="20">
        <v>60</v>
      </c>
      <c r="X60" s="22">
        <f ca="1">TODAY()+21</f>
        <v>46234</v>
      </c>
      <c r="AI60" s="46">
        <f>MOD(AI59,36)</f>
        <v>31</v>
      </c>
      <c r="AK60" s="20" t="s">
        <v>97</v>
      </c>
      <c r="AL60" s="20">
        <v>13</v>
      </c>
      <c r="AM60" s="20">
        <f t="shared" si="0"/>
        <v>20</v>
      </c>
      <c r="AO60" s="33">
        <v>39</v>
      </c>
      <c r="AP60" s="21" t="s">
        <v>44</v>
      </c>
      <c r="AQ60" s="20">
        <v>6605</v>
      </c>
      <c r="AR60" s="34" t="s">
        <v>49</v>
      </c>
    </row>
    <row r="61" spans="1:44" ht="13.5" thickBot="1" x14ac:dyDescent="0.25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T61" s="20">
        <v>1</v>
      </c>
      <c r="U61" s="20" t="str">
        <f>VLOOKUP(T61,T57:U58,2,FALSE)</f>
        <v>Bez 34</v>
      </c>
      <c r="W61" s="20">
        <v>61</v>
      </c>
      <c r="X61" s="22">
        <f ca="1">TODAY()+22</f>
        <v>46235</v>
      </c>
      <c r="AK61" s="20" t="s">
        <v>98</v>
      </c>
      <c r="AL61" s="20">
        <v>33</v>
      </c>
      <c r="AM61" s="20">
        <f t="shared" si="0"/>
        <v>4</v>
      </c>
      <c r="AO61" s="33">
        <v>40</v>
      </c>
      <c r="AP61" s="20" t="s">
        <v>104</v>
      </c>
      <c r="AQ61" s="20">
        <v>6476</v>
      </c>
      <c r="AR61" s="35" t="s">
        <v>111</v>
      </c>
    </row>
    <row r="62" spans="1:44" ht="13.5" thickBot="1" x14ac:dyDescent="0.25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R62" s="20">
        <v>0</v>
      </c>
      <c r="S62" s="20">
        <v>1</v>
      </c>
      <c r="W62" s="20">
        <v>62</v>
      </c>
      <c r="X62" s="22">
        <f ca="1">TODAY()+23</f>
        <v>46236</v>
      </c>
      <c r="AH62" s="24" t="s">
        <v>124</v>
      </c>
      <c r="AI62" s="52">
        <f>VLOOKUP(P40,AK38:AM89,3,FALSE)</f>
        <v>16</v>
      </c>
      <c r="AK62" s="20" t="s">
        <v>93</v>
      </c>
      <c r="AL62" s="20">
        <v>5</v>
      </c>
      <c r="AM62" s="20">
        <f t="shared" si="0"/>
        <v>12</v>
      </c>
      <c r="AO62" s="33">
        <v>41</v>
      </c>
      <c r="AP62" s="20" t="s">
        <v>101</v>
      </c>
      <c r="AQ62" s="20">
        <v>5972</v>
      </c>
      <c r="AR62" s="35" t="s">
        <v>43</v>
      </c>
    </row>
    <row r="63" spans="1:44" x14ac:dyDescent="0.2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R63" s="20">
        <v>1</v>
      </c>
      <c r="S63" s="20">
        <v>2</v>
      </c>
      <c r="W63" s="20">
        <v>63</v>
      </c>
      <c r="X63" s="22">
        <f ca="1">TODAY()+24</f>
        <v>46237</v>
      </c>
      <c r="AK63" s="20" t="s">
        <v>100</v>
      </c>
      <c r="AL63" s="20">
        <v>9</v>
      </c>
      <c r="AM63" s="20">
        <f t="shared" si="0"/>
        <v>16</v>
      </c>
      <c r="AO63" s="33">
        <v>42</v>
      </c>
      <c r="AP63" s="20" t="s">
        <v>77</v>
      </c>
      <c r="AQ63" s="20">
        <v>9345</v>
      </c>
      <c r="AR63" s="35" t="s">
        <v>43</v>
      </c>
    </row>
    <row r="64" spans="1:44" ht="13.5" thickBot="1" x14ac:dyDescent="0.25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R64" s="20">
        <v>3</v>
      </c>
      <c r="S64" s="20">
        <v>2</v>
      </c>
      <c r="W64" s="20">
        <v>64</v>
      </c>
      <c r="X64" s="22">
        <f ca="1">TODAY()+25</f>
        <v>46238</v>
      </c>
      <c r="AK64" s="20" t="s">
        <v>99</v>
      </c>
      <c r="AL64" s="20">
        <v>1</v>
      </c>
      <c r="AM64" s="20">
        <f t="shared" si="0"/>
        <v>8</v>
      </c>
      <c r="AO64" s="33">
        <v>43</v>
      </c>
      <c r="AP64" s="24" t="s">
        <v>119</v>
      </c>
      <c r="AQ64" s="20">
        <v>1256</v>
      </c>
      <c r="AR64" s="35" t="s">
        <v>43</v>
      </c>
    </row>
    <row r="65" spans="1:44" ht="13.5" thickBot="1" x14ac:dyDescent="0.2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R65" s="20">
        <v>4</v>
      </c>
      <c r="S65" s="20">
        <v>3</v>
      </c>
      <c r="W65" s="20">
        <v>65</v>
      </c>
      <c r="X65" s="22">
        <f ca="1">TODAY()+26</f>
        <v>46239</v>
      </c>
      <c r="AH65" s="24" t="s">
        <v>125</v>
      </c>
      <c r="AI65" s="52">
        <f>VLOOKUP(P41,AK38:AM88,3,FALSE)</f>
        <v>4</v>
      </c>
      <c r="AK65" s="20" t="s">
        <v>83</v>
      </c>
      <c r="AL65" s="20">
        <v>6</v>
      </c>
      <c r="AM65" s="20">
        <f t="shared" si="0"/>
        <v>13</v>
      </c>
      <c r="AO65" s="33">
        <v>44</v>
      </c>
      <c r="AP65" s="20" t="s">
        <v>94</v>
      </c>
      <c r="AQ65" s="20">
        <v>5608</v>
      </c>
      <c r="AR65" s="35" t="s">
        <v>43</v>
      </c>
    </row>
    <row r="66" spans="1:44" x14ac:dyDescent="0.2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R66" s="20">
        <v>5</v>
      </c>
      <c r="S66" s="20">
        <v>4</v>
      </c>
      <c r="W66" s="20">
        <v>66</v>
      </c>
      <c r="X66" s="22">
        <f ca="1">TODAY()+27</f>
        <v>46240</v>
      </c>
      <c r="AK66" s="20" t="s">
        <v>84</v>
      </c>
      <c r="AL66" s="20">
        <v>22</v>
      </c>
      <c r="AM66" s="20">
        <f t="shared" si="0"/>
        <v>29</v>
      </c>
      <c r="AO66" s="33">
        <v>45</v>
      </c>
      <c r="AP66" s="20" t="s">
        <v>95</v>
      </c>
      <c r="AQ66" s="20">
        <v>10909</v>
      </c>
      <c r="AR66" s="35" t="s">
        <v>43</v>
      </c>
    </row>
    <row r="67" spans="1:44" x14ac:dyDescent="0.2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R67" s="20">
        <v>7</v>
      </c>
      <c r="S67" s="20">
        <v>4</v>
      </c>
      <c r="W67" s="20">
        <v>67</v>
      </c>
      <c r="X67" s="22">
        <f ca="1">TODAY()+28</f>
        <v>46241</v>
      </c>
      <c r="AK67" s="20" t="s">
        <v>85</v>
      </c>
      <c r="AL67" s="20">
        <v>14</v>
      </c>
      <c r="AM67" s="20">
        <f t="shared" si="0"/>
        <v>21</v>
      </c>
      <c r="AO67" s="33">
        <v>46</v>
      </c>
      <c r="AP67" s="20" t="s">
        <v>47</v>
      </c>
      <c r="AQ67" s="20">
        <v>4784</v>
      </c>
      <c r="AR67" s="34" t="s">
        <v>43</v>
      </c>
    </row>
    <row r="68" spans="1:44" x14ac:dyDescent="0.2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R68" s="20">
        <v>8</v>
      </c>
      <c r="S68" s="20">
        <v>5</v>
      </c>
      <c r="W68" s="20">
        <v>68</v>
      </c>
      <c r="X68" s="22">
        <f ca="1">TODAY()+29</f>
        <v>46242</v>
      </c>
      <c r="AI68" s="53" t="s">
        <v>127</v>
      </c>
      <c r="AK68" s="20" t="s">
        <v>86</v>
      </c>
      <c r="AL68" s="20">
        <v>10</v>
      </c>
      <c r="AM68" s="20">
        <f t="shared" si="0"/>
        <v>17</v>
      </c>
      <c r="AO68" s="33">
        <v>47</v>
      </c>
      <c r="AP68" s="20" t="s">
        <v>80</v>
      </c>
      <c r="AQ68" s="20">
        <v>5681</v>
      </c>
      <c r="AR68" s="35" t="s">
        <v>43</v>
      </c>
    </row>
    <row r="69" spans="1:44" x14ac:dyDescent="0.2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R69" s="20">
        <v>9</v>
      </c>
      <c r="S69" s="20">
        <v>6</v>
      </c>
      <c r="W69" s="20">
        <v>69</v>
      </c>
      <c r="X69" s="22">
        <f ca="1">TODAY()+30</f>
        <v>46243</v>
      </c>
      <c r="AG69" s="20">
        <f>AJ69</f>
        <v>0</v>
      </c>
      <c r="AH69" s="46">
        <f>$B$8</f>
        <v>46201</v>
      </c>
      <c r="AI69" s="46">
        <f>IF(AH69&gt;0,36-(MOD(AH69,36)),0)</f>
        <v>23</v>
      </c>
      <c r="AJ69" s="20">
        <f>IF(AI69=$AI$62,1,0)</f>
        <v>0</v>
      </c>
      <c r="AK69" s="20" t="s">
        <v>87</v>
      </c>
      <c r="AL69" s="20">
        <v>18</v>
      </c>
      <c r="AM69" s="20">
        <f t="shared" si="0"/>
        <v>25</v>
      </c>
      <c r="AO69" s="33">
        <v>48</v>
      </c>
      <c r="AP69" s="23" t="s">
        <v>82</v>
      </c>
      <c r="AQ69" s="58">
        <v>8705</v>
      </c>
      <c r="AR69" s="35" t="s">
        <v>43</v>
      </c>
    </row>
    <row r="70" spans="1:44" x14ac:dyDescent="0.2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R70" s="20">
        <v>11</v>
      </c>
      <c r="S70" s="20">
        <v>6</v>
      </c>
      <c r="W70" s="20">
        <v>70</v>
      </c>
      <c r="X70" s="22">
        <f ca="1">TODAY()+31</f>
        <v>46244</v>
      </c>
      <c r="AG70" s="20">
        <f t="shared" ref="AG70:AG101" si="7">AJ70</f>
        <v>0</v>
      </c>
      <c r="AH70" s="20">
        <f>IF($AH$69+1&lt;$E$8+1,$AH$69+1,0)</f>
        <v>46202</v>
      </c>
      <c r="AI70" s="46">
        <f t="shared" ref="AI70:AI101" si="8">IF(AH70&gt;0,36-(MOD(AH70,36)),0)</f>
        <v>22</v>
      </c>
      <c r="AJ70" s="20">
        <f t="shared" ref="AJ70:AJ101" si="9">IF(AI70=$AI$62,1,0)</f>
        <v>0</v>
      </c>
      <c r="AK70" s="20" t="s">
        <v>88</v>
      </c>
      <c r="AL70" s="20">
        <v>26</v>
      </c>
      <c r="AM70" s="20">
        <f t="shared" si="0"/>
        <v>33</v>
      </c>
      <c r="AO70" s="33">
        <v>49</v>
      </c>
      <c r="AP70" s="21" t="s">
        <v>48</v>
      </c>
      <c r="AQ70" s="20">
        <v>11547</v>
      </c>
      <c r="AR70" s="34" t="s">
        <v>43</v>
      </c>
    </row>
    <row r="71" spans="1:44" ht="13.5" thickBot="1" x14ac:dyDescent="0.25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R71" s="20">
        <v>12</v>
      </c>
      <c r="S71" s="20">
        <v>7</v>
      </c>
      <c r="W71" s="20">
        <v>71</v>
      </c>
      <c r="X71" s="22">
        <f ca="1">TODAY()+32</f>
        <v>46245</v>
      </c>
      <c r="AG71" s="20">
        <f t="shared" si="7"/>
        <v>0</v>
      </c>
      <c r="AH71" s="20">
        <f>IF($AH$69+2&lt;$E$8+1,$AH$69+2,0)</f>
        <v>46203</v>
      </c>
      <c r="AI71" s="46">
        <f t="shared" si="8"/>
        <v>21</v>
      </c>
      <c r="AJ71" s="20">
        <f t="shared" si="9"/>
        <v>0</v>
      </c>
      <c r="AK71" s="20" t="s">
        <v>89</v>
      </c>
      <c r="AL71" s="20">
        <v>30</v>
      </c>
      <c r="AM71" s="20">
        <f t="shared" si="0"/>
        <v>1</v>
      </c>
      <c r="AO71" s="38">
        <v>50</v>
      </c>
      <c r="AP71" s="40" t="s">
        <v>42</v>
      </c>
      <c r="AQ71" s="44">
        <v>5698</v>
      </c>
      <c r="AR71" s="42" t="s">
        <v>43</v>
      </c>
    </row>
    <row r="72" spans="1:44" x14ac:dyDescent="0.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R72" s="20">
        <v>13</v>
      </c>
      <c r="S72" s="20">
        <v>8</v>
      </c>
      <c r="W72" s="20">
        <v>72</v>
      </c>
      <c r="X72" s="22">
        <f ca="1">TODAY()+33</f>
        <v>46246</v>
      </c>
      <c r="AG72" s="20">
        <f t="shared" si="7"/>
        <v>0</v>
      </c>
      <c r="AH72" s="20">
        <f>IF($AH$69+3&lt;$E$8+1,$AH$69+3,0)</f>
        <v>46204</v>
      </c>
      <c r="AI72" s="46">
        <f t="shared" si="8"/>
        <v>20</v>
      </c>
      <c r="AJ72" s="20">
        <f t="shared" si="9"/>
        <v>0</v>
      </c>
      <c r="AK72" s="20" t="s">
        <v>90</v>
      </c>
      <c r="AL72" s="20">
        <v>34</v>
      </c>
      <c r="AM72" s="20">
        <f t="shared" si="0"/>
        <v>5</v>
      </c>
      <c r="AO72" s="33">
        <v>51</v>
      </c>
      <c r="AP72" s="131" t="s">
        <v>75</v>
      </c>
      <c r="AQ72" s="131">
        <v>13657</v>
      </c>
      <c r="AR72" s="35" t="s">
        <v>112</v>
      </c>
    </row>
    <row r="73" spans="1:44" x14ac:dyDescent="0.2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R73" s="20">
        <v>15</v>
      </c>
      <c r="S73" s="20">
        <v>8</v>
      </c>
      <c r="W73" s="20">
        <v>73</v>
      </c>
      <c r="X73" s="22">
        <f ca="1">TODAY()+34</f>
        <v>46247</v>
      </c>
      <c r="AG73" s="20">
        <f t="shared" si="7"/>
        <v>0</v>
      </c>
      <c r="AH73" s="20">
        <f>IF($AH$69+4&lt;$E$8+1,$AH$69+4,0)</f>
        <v>46205</v>
      </c>
      <c r="AI73" s="46">
        <f t="shared" si="8"/>
        <v>19</v>
      </c>
      <c r="AJ73" s="20">
        <f t="shared" si="9"/>
        <v>0</v>
      </c>
      <c r="AK73" s="20" t="s">
        <v>91</v>
      </c>
      <c r="AL73" s="20">
        <v>2</v>
      </c>
      <c r="AM73" s="20">
        <f t="shared" si="0"/>
        <v>9</v>
      </c>
    </row>
    <row r="74" spans="1:44" x14ac:dyDescent="0.2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R74" s="20">
        <v>16</v>
      </c>
      <c r="S74" s="20">
        <v>9</v>
      </c>
      <c r="W74" s="20">
        <v>74</v>
      </c>
      <c r="X74" s="22">
        <f ca="1">TODAY()+35</f>
        <v>46248</v>
      </c>
      <c r="AG74" s="20">
        <f t="shared" si="7"/>
        <v>0</v>
      </c>
      <c r="AH74" s="20">
        <f>IF($AH$69+5&lt;$E$8+1,$AH$69+5,0)</f>
        <v>46206</v>
      </c>
      <c r="AI74" s="46">
        <f t="shared" si="8"/>
        <v>18</v>
      </c>
      <c r="AJ74" s="20">
        <f t="shared" si="9"/>
        <v>0</v>
      </c>
      <c r="AK74" s="20" t="s">
        <v>95</v>
      </c>
      <c r="AL74" s="20">
        <v>0</v>
      </c>
      <c r="AM74" s="20">
        <f t="shared" si="0"/>
        <v>100</v>
      </c>
    </row>
    <row r="75" spans="1:44" x14ac:dyDescent="0.2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R75" s="20">
        <v>17</v>
      </c>
      <c r="S75" s="20">
        <v>10</v>
      </c>
      <c r="W75" s="20">
        <v>75</v>
      </c>
      <c r="X75" s="22">
        <f ca="1">TODAY()+36</f>
        <v>46249</v>
      </c>
      <c r="AG75" s="20">
        <f t="shared" si="7"/>
        <v>0</v>
      </c>
      <c r="AH75" s="20">
        <f>IF($AH$69+6&lt;$E$8+1,$AH$69+6,0)</f>
        <v>0</v>
      </c>
      <c r="AI75" s="46">
        <f t="shared" si="8"/>
        <v>0</v>
      </c>
      <c r="AJ75" s="20">
        <f t="shared" si="9"/>
        <v>0</v>
      </c>
      <c r="AK75" s="20" t="s">
        <v>74</v>
      </c>
      <c r="AL75" s="20">
        <v>0</v>
      </c>
      <c r="AM75" s="20">
        <f t="shared" si="0"/>
        <v>100</v>
      </c>
      <c r="AO75" s="20">
        <v>1</v>
      </c>
      <c r="AP75" s="20">
        <v>1</v>
      </c>
      <c r="AR75" s="34"/>
    </row>
    <row r="76" spans="1:44" x14ac:dyDescent="0.2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R76" s="20">
        <v>19</v>
      </c>
      <c r="S76" s="20">
        <v>10</v>
      </c>
      <c r="W76" s="20">
        <v>76</v>
      </c>
      <c r="X76" s="22">
        <f ca="1">TODAY()+37</f>
        <v>46250</v>
      </c>
      <c r="AG76" s="20">
        <f t="shared" si="7"/>
        <v>0</v>
      </c>
      <c r="AH76" s="20">
        <f>IF($AH$69+7&lt;$E$8+1,$AH$69+7,0)</f>
        <v>0</v>
      </c>
      <c r="AI76" s="46">
        <f t="shared" si="8"/>
        <v>0</v>
      </c>
      <c r="AJ76" s="20">
        <f t="shared" si="9"/>
        <v>0</v>
      </c>
      <c r="AK76" s="20" t="s">
        <v>78</v>
      </c>
      <c r="AL76" s="20">
        <v>0</v>
      </c>
      <c r="AM76" s="20">
        <f t="shared" si="0"/>
        <v>100</v>
      </c>
      <c r="AO76" s="20">
        <v>2</v>
      </c>
      <c r="AP76" s="20">
        <v>2</v>
      </c>
      <c r="AR76" s="34"/>
    </row>
    <row r="77" spans="1:44" x14ac:dyDescent="0.2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R77" s="20">
        <v>20</v>
      </c>
      <c r="S77" s="20">
        <v>11</v>
      </c>
      <c r="W77" s="20">
        <v>77</v>
      </c>
      <c r="X77" s="22">
        <f ca="1">TODAY()+38</f>
        <v>46251</v>
      </c>
      <c r="AG77" s="20">
        <f t="shared" si="7"/>
        <v>0</v>
      </c>
      <c r="AH77" s="20">
        <f>IF($AH$69+8&lt;$E$8+1,$AH$69+8,0)</f>
        <v>0</v>
      </c>
      <c r="AI77" s="46">
        <f t="shared" si="8"/>
        <v>0</v>
      </c>
      <c r="AJ77" s="20">
        <f t="shared" si="9"/>
        <v>0</v>
      </c>
      <c r="AK77" s="20" t="s">
        <v>47</v>
      </c>
      <c r="AL77" s="20">
        <v>0</v>
      </c>
      <c r="AM77" s="20">
        <f t="shared" si="0"/>
        <v>100</v>
      </c>
      <c r="AO77" s="20">
        <v>3</v>
      </c>
      <c r="AP77" s="20">
        <v>2</v>
      </c>
    </row>
    <row r="78" spans="1:44" x14ac:dyDescent="0.2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R78" s="20">
        <v>21</v>
      </c>
      <c r="S78" s="20">
        <v>12</v>
      </c>
      <c r="W78" s="20">
        <v>78</v>
      </c>
      <c r="X78" s="22">
        <f ca="1">TODAY()+39</f>
        <v>46252</v>
      </c>
      <c r="AG78" s="20">
        <f t="shared" si="7"/>
        <v>0</v>
      </c>
      <c r="AH78" s="20">
        <f>IF($AH$69+9&lt;$E$8+1,$AH$69+9,0)</f>
        <v>0</v>
      </c>
      <c r="AI78" s="46">
        <f t="shared" si="8"/>
        <v>0</v>
      </c>
      <c r="AJ78" s="20">
        <f t="shared" si="9"/>
        <v>0</v>
      </c>
      <c r="AK78" s="20" t="s">
        <v>63</v>
      </c>
      <c r="AL78" s="20">
        <v>0</v>
      </c>
      <c r="AM78" s="20">
        <f t="shared" si="0"/>
        <v>100</v>
      </c>
      <c r="AO78" s="20">
        <v>4</v>
      </c>
      <c r="AP78" s="20">
        <v>2</v>
      </c>
    </row>
    <row r="79" spans="1:44" x14ac:dyDescent="0.2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R79" s="20">
        <v>23</v>
      </c>
      <c r="S79" s="20">
        <v>12</v>
      </c>
      <c r="W79" s="20">
        <v>79</v>
      </c>
      <c r="X79" s="22">
        <f ca="1">TODAY()+40</f>
        <v>46253</v>
      </c>
      <c r="AG79" s="20">
        <f t="shared" si="7"/>
        <v>0</v>
      </c>
      <c r="AH79" s="20">
        <f>IF($AH$69+10&lt;$E$8+1,$AH$69+10,0)</f>
        <v>0</v>
      </c>
      <c r="AI79" s="46">
        <f t="shared" si="8"/>
        <v>0</v>
      </c>
      <c r="AJ79" s="20">
        <f t="shared" si="9"/>
        <v>0</v>
      </c>
      <c r="AK79" s="20" t="s">
        <v>60</v>
      </c>
      <c r="AL79" s="20">
        <v>0</v>
      </c>
      <c r="AM79" s="20">
        <f t="shared" si="0"/>
        <v>100</v>
      </c>
      <c r="AO79" s="20">
        <v>5</v>
      </c>
      <c r="AP79" s="20">
        <v>3</v>
      </c>
    </row>
    <row r="80" spans="1:44" x14ac:dyDescent="0.2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R80" s="20">
        <v>24</v>
      </c>
      <c r="S80" s="20">
        <v>13</v>
      </c>
      <c r="W80" s="20">
        <v>80</v>
      </c>
      <c r="X80" s="22">
        <f ca="1">TODAY()+41</f>
        <v>46254</v>
      </c>
      <c r="AG80" s="20">
        <f t="shared" si="7"/>
        <v>0</v>
      </c>
      <c r="AH80" s="20">
        <f>IF($AH$69+11&lt;$E$8+1,$AH$69+11,0)</f>
        <v>0</v>
      </c>
      <c r="AI80" s="46">
        <f t="shared" si="8"/>
        <v>0</v>
      </c>
      <c r="AJ80" s="20">
        <f t="shared" si="9"/>
        <v>0</v>
      </c>
      <c r="AK80" s="20" t="s">
        <v>92</v>
      </c>
      <c r="AL80" s="20">
        <v>0</v>
      </c>
      <c r="AM80" s="20">
        <f t="shared" si="0"/>
        <v>100</v>
      </c>
      <c r="AO80" s="20">
        <v>6</v>
      </c>
      <c r="AP80" s="20">
        <v>4</v>
      </c>
    </row>
    <row r="81" spans="1:42" x14ac:dyDescent="0.2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R81" s="20">
        <v>25</v>
      </c>
      <c r="S81" s="20">
        <v>14</v>
      </c>
      <c r="W81" s="20">
        <v>81</v>
      </c>
      <c r="X81" s="22">
        <f ca="1">TODAY()+42</f>
        <v>46255</v>
      </c>
      <c r="AG81" s="20">
        <f t="shared" si="7"/>
        <v>0</v>
      </c>
      <c r="AH81" s="20">
        <f>IF($AH$69+12&lt;$E$8+1,$AH$69+12,0)</f>
        <v>0</v>
      </c>
      <c r="AI81" s="46">
        <f t="shared" si="8"/>
        <v>0</v>
      </c>
      <c r="AJ81" s="20">
        <f t="shared" si="9"/>
        <v>0</v>
      </c>
      <c r="AK81" s="20" t="s">
        <v>80</v>
      </c>
      <c r="AL81" s="20">
        <v>0</v>
      </c>
      <c r="AM81" s="20">
        <f t="shared" si="0"/>
        <v>100</v>
      </c>
      <c r="AO81" s="20">
        <v>7</v>
      </c>
      <c r="AP81" s="20">
        <v>4</v>
      </c>
    </row>
    <row r="82" spans="1:42" x14ac:dyDescent="0.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R82" s="20">
        <v>27</v>
      </c>
      <c r="S82" s="20">
        <v>14</v>
      </c>
      <c r="W82" s="20">
        <v>82</v>
      </c>
      <c r="X82" s="22">
        <f ca="1">TODAY()+43</f>
        <v>46256</v>
      </c>
      <c r="AG82" s="20">
        <f t="shared" si="7"/>
        <v>0</v>
      </c>
      <c r="AH82" s="20">
        <f>IF($AH$69+13&lt;$E$8+1,$AH$69+13,0)</f>
        <v>0</v>
      </c>
      <c r="AI82" s="46">
        <f t="shared" si="8"/>
        <v>0</v>
      </c>
      <c r="AJ82" s="20">
        <f t="shared" si="9"/>
        <v>0</v>
      </c>
      <c r="AK82" s="20" t="s">
        <v>42</v>
      </c>
      <c r="AL82" s="20">
        <v>0</v>
      </c>
      <c r="AM82" s="20">
        <f t="shared" si="0"/>
        <v>100</v>
      </c>
      <c r="AO82" s="20">
        <v>8</v>
      </c>
      <c r="AP82" s="20">
        <v>4</v>
      </c>
    </row>
    <row r="83" spans="1:42" x14ac:dyDescent="0.2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R83" s="20">
        <v>28</v>
      </c>
      <c r="S83" s="20">
        <v>15</v>
      </c>
      <c r="W83" s="20">
        <v>83</v>
      </c>
      <c r="X83" s="22">
        <f ca="1">TODAY()+44</f>
        <v>46257</v>
      </c>
      <c r="AG83" s="20">
        <f t="shared" si="7"/>
        <v>0</v>
      </c>
      <c r="AH83" s="20">
        <f>IF($AH$69+14&lt;$E$8+1,$AH$69+14,0)</f>
        <v>0</v>
      </c>
      <c r="AI83" s="46">
        <f t="shared" si="8"/>
        <v>0</v>
      </c>
      <c r="AJ83" s="20">
        <f t="shared" si="9"/>
        <v>0</v>
      </c>
      <c r="AK83" s="20" t="s">
        <v>102</v>
      </c>
      <c r="AL83" s="20">
        <v>0</v>
      </c>
      <c r="AM83" s="20">
        <f t="shared" si="0"/>
        <v>100</v>
      </c>
    </row>
    <row r="84" spans="1:42" ht="13.5" thickBot="1" x14ac:dyDescent="0.25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R84" s="20">
        <v>29</v>
      </c>
      <c r="S84" s="20">
        <v>16</v>
      </c>
      <c r="W84" s="20">
        <v>84</v>
      </c>
      <c r="X84" s="22">
        <f ca="1">TODAY()+45</f>
        <v>46258</v>
      </c>
      <c r="AG84" s="20">
        <f t="shared" si="7"/>
        <v>0</v>
      </c>
      <c r="AH84" s="20">
        <f>IF($AH$69+15&lt;$E$8+1,$AH$69+15,0)</f>
        <v>0</v>
      </c>
      <c r="AI84" s="46">
        <f t="shared" si="8"/>
        <v>0</v>
      </c>
      <c r="AJ84" s="20">
        <f t="shared" si="9"/>
        <v>0</v>
      </c>
      <c r="AK84" s="39" t="s">
        <v>119</v>
      </c>
      <c r="AL84" s="20">
        <v>0</v>
      </c>
      <c r="AM84" s="20">
        <f t="shared" si="0"/>
        <v>100</v>
      </c>
    </row>
    <row r="85" spans="1:42" x14ac:dyDescent="0.2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R85" s="20">
        <v>31</v>
      </c>
      <c r="S85" s="20">
        <v>16</v>
      </c>
      <c r="W85" s="20">
        <v>85</v>
      </c>
      <c r="X85" s="22">
        <f ca="1">TODAY()+46</f>
        <v>46259</v>
      </c>
      <c r="AG85" s="20">
        <f t="shared" si="7"/>
        <v>0</v>
      </c>
      <c r="AH85" s="20">
        <f>IF($AH$69+16&lt;$E$8+1,$AH$69+16,0)</f>
        <v>0</v>
      </c>
      <c r="AI85" s="46">
        <f t="shared" si="8"/>
        <v>0</v>
      </c>
      <c r="AJ85" s="20">
        <f t="shared" si="9"/>
        <v>0</v>
      </c>
      <c r="AK85" s="20" t="s">
        <v>41</v>
      </c>
      <c r="AL85" s="20">
        <v>0</v>
      </c>
      <c r="AM85" s="20">
        <f t="shared" si="0"/>
        <v>100</v>
      </c>
    </row>
    <row r="86" spans="1:42" x14ac:dyDescent="0.2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W86" s="20">
        <v>86</v>
      </c>
      <c r="X86" s="22">
        <f ca="1">TODAY()+47</f>
        <v>46260</v>
      </c>
      <c r="AG86" s="20">
        <f t="shared" si="7"/>
        <v>0</v>
      </c>
      <c r="AH86" s="20">
        <f>IF($AH$69+17&lt;$E$8+1,$AH$69+17,0)</f>
        <v>0</v>
      </c>
      <c r="AI86" s="46">
        <f t="shared" si="8"/>
        <v>0</v>
      </c>
      <c r="AJ86" s="20">
        <f t="shared" si="9"/>
        <v>0</v>
      </c>
      <c r="AK86" s="20" t="s">
        <v>103</v>
      </c>
      <c r="AL86" s="20">
        <v>0</v>
      </c>
      <c r="AM86" s="20">
        <f t="shared" si="0"/>
        <v>100</v>
      </c>
    </row>
    <row r="87" spans="1:42" x14ac:dyDescent="0.2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R87" s="20">
        <f>E8-B8</f>
        <v>5</v>
      </c>
      <c r="S87" s="20">
        <f>VLOOKUP(R87,R62:S85,2)</f>
        <v>4</v>
      </c>
      <c r="T87" s="20">
        <f>IF(T60=1,S87,S87-1)</f>
        <v>4</v>
      </c>
      <c r="W87" s="20">
        <v>87</v>
      </c>
      <c r="X87" s="22">
        <f ca="1">TODAY()+48</f>
        <v>46261</v>
      </c>
      <c r="AG87" s="20">
        <f t="shared" si="7"/>
        <v>0</v>
      </c>
      <c r="AH87" s="20">
        <f>IF($AH$69+18&lt;$E$8+1,$AH$69+18,0)</f>
        <v>0</v>
      </c>
      <c r="AI87" s="46">
        <f t="shared" si="8"/>
        <v>0</v>
      </c>
      <c r="AJ87" s="20">
        <f t="shared" si="9"/>
        <v>0</v>
      </c>
      <c r="AK87" s="20" t="s">
        <v>104</v>
      </c>
      <c r="AL87" s="20">
        <v>0</v>
      </c>
      <c r="AM87" s="20">
        <f t="shared" si="0"/>
        <v>100</v>
      </c>
    </row>
    <row r="88" spans="1:42" x14ac:dyDescent="0.2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R88" s="20">
        <f>E25-B25</f>
        <v>5</v>
      </c>
      <c r="S88" s="20">
        <f>VLOOKUP(R88,R62:S85,2)</f>
        <v>4</v>
      </c>
      <c r="T88" s="20">
        <f>IF(T61=1,S88,S88-1)</f>
        <v>4</v>
      </c>
      <c r="W88" s="20">
        <v>88</v>
      </c>
      <c r="X88" s="22">
        <f ca="1">TODAY()+34</f>
        <v>46247</v>
      </c>
      <c r="AG88" s="20">
        <f t="shared" si="7"/>
        <v>0</v>
      </c>
      <c r="AH88" s="20">
        <f>IF($AH$69+19&lt;$E$8+1,$AH$69+19,0)</f>
        <v>0</v>
      </c>
      <c r="AI88" s="46">
        <f t="shared" si="8"/>
        <v>0</v>
      </c>
      <c r="AJ88" s="20">
        <f t="shared" si="9"/>
        <v>0</v>
      </c>
      <c r="AK88" s="24" t="s">
        <v>123</v>
      </c>
      <c r="AL88" s="20">
        <v>0</v>
      </c>
      <c r="AM88" s="20">
        <f t="shared" si="0"/>
        <v>100</v>
      </c>
    </row>
    <row r="89" spans="1:42" x14ac:dyDescent="0.2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W89" s="20">
        <v>89</v>
      </c>
      <c r="X89" s="22">
        <f ca="1">TODAY()+35</f>
        <v>46248</v>
      </c>
      <c r="AG89" s="20">
        <f t="shared" si="7"/>
        <v>0</v>
      </c>
      <c r="AH89" s="20">
        <f>IF($AH$69+20&lt;$E$8+1,$AH$69+20,0)</f>
        <v>0</v>
      </c>
      <c r="AI89" s="46">
        <f t="shared" si="8"/>
        <v>0</v>
      </c>
      <c r="AJ89" s="20">
        <f t="shared" si="9"/>
        <v>0</v>
      </c>
      <c r="AL89" s="20">
        <v>0</v>
      </c>
      <c r="AM89" s="20">
        <f t="shared" si="0"/>
        <v>100</v>
      </c>
    </row>
    <row r="90" spans="1:42" x14ac:dyDescent="0.2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W90" s="20">
        <v>90</v>
      </c>
      <c r="X90" s="22">
        <f ca="1">TODAY()+36</f>
        <v>46249</v>
      </c>
      <c r="AG90" s="20">
        <f t="shared" si="7"/>
        <v>0</v>
      </c>
      <c r="AH90" s="20">
        <f>IF($AH$69+21&lt;$E$8+1,$AH$69+21,0)</f>
        <v>0</v>
      </c>
      <c r="AI90" s="46">
        <f t="shared" si="8"/>
        <v>0</v>
      </c>
      <c r="AJ90" s="20">
        <f t="shared" si="9"/>
        <v>0</v>
      </c>
    </row>
    <row r="91" spans="1:42" x14ac:dyDescent="0.2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W91" s="20">
        <v>91</v>
      </c>
      <c r="X91" s="22">
        <f ca="1">TODAY()+37</f>
        <v>46250</v>
      </c>
      <c r="AG91" s="20">
        <f t="shared" si="7"/>
        <v>0</v>
      </c>
      <c r="AH91" s="20">
        <f>IF($AH$69+22&lt;$E$8+1,$AH$69+22,0)</f>
        <v>0</v>
      </c>
      <c r="AI91" s="46">
        <f t="shared" si="8"/>
        <v>0</v>
      </c>
      <c r="AJ91" s="20">
        <f t="shared" si="9"/>
        <v>0</v>
      </c>
    </row>
    <row r="92" spans="1:42" x14ac:dyDescent="0.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W92" s="20">
        <v>92</v>
      </c>
      <c r="X92" s="22">
        <f ca="1">TODAY()+38</f>
        <v>46251</v>
      </c>
      <c r="AF92" s="24" t="s">
        <v>131</v>
      </c>
      <c r="AG92" s="20">
        <f t="shared" si="7"/>
        <v>0</v>
      </c>
      <c r="AH92" s="20">
        <f>IF($AH$69+23&lt;$E$8+1,$AH$69+23,0)</f>
        <v>0</v>
      </c>
      <c r="AI92" s="46">
        <f t="shared" si="8"/>
        <v>0</v>
      </c>
      <c r="AJ92" s="20">
        <f t="shared" si="9"/>
        <v>0</v>
      </c>
    </row>
    <row r="93" spans="1:42" x14ac:dyDescent="0.2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W93" s="20">
        <v>93</v>
      </c>
      <c r="X93" s="22">
        <f ca="1">TODAY()+39</f>
        <v>46252</v>
      </c>
      <c r="AE93" s="24" t="s">
        <v>129</v>
      </c>
      <c r="AF93" s="22">
        <f>IF(AJ102&gt;0,VLOOKUP(1,AG69:AH101,2,FALSE),0)</f>
        <v>0</v>
      </c>
      <c r="AG93" s="20">
        <f t="shared" si="7"/>
        <v>0</v>
      </c>
      <c r="AH93" s="20">
        <f>IF($AH$69+24&lt;$E$8+1,$AH$69+24,0)</f>
        <v>0</v>
      </c>
      <c r="AI93" s="46">
        <f t="shared" si="8"/>
        <v>0</v>
      </c>
      <c r="AJ93" s="20">
        <f t="shared" si="9"/>
        <v>0</v>
      </c>
    </row>
    <row r="94" spans="1:42" x14ac:dyDescent="0.2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W94" s="20">
        <v>94</v>
      </c>
      <c r="X94" s="22">
        <f ca="1">TODAY()+40</f>
        <v>46253</v>
      </c>
      <c r="AE94" s="24" t="s">
        <v>130</v>
      </c>
      <c r="AF94" s="22">
        <f>IF(AJ138&gt;0,VLOOKUP(1,AG105:AH137,2,FALSE),0)</f>
        <v>0</v>
      </c>
      <c r="AG94" s="20">
        <f t="shared" si="7"/>
        <v>0</v>
      </c>
      <c r="AH94" s="20">
        <f>IF($AH$69+25&lt;$E$8+1,$AH$69+25,0)</f>
        <v>0</v>
      </c>
      <c r="AI94" s="46">
        <f t="shared" si="8"/>
        <v>0</v>
      </c>
      <c r="AJ94" s="20">
        <f t="shared" si="9"/>
        <v>0</v>
      </c>
    </row>
    <row r="95" spans="1:42" x14ac:dyDescent="0.2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W95" s="20">
        <v>95</v>
      </c>
      <c r="X95" s="22">
        <f ca="1">TODAY()+41</f>
        <v>46254</v>
      </c>
      <c r="AG95" s="20">
        <f t="shared" si="7"/>
        <v>0</v>
      </c>
      <c r="AH95" s="20">
        <f>IF($AH$69+26&lt;$E$8+1,$AH$69+26,0)</f>
        <v>0</v>
      </c>
      <c r="AI95" s="46">
        <f t="shared" si="8"/>
        <v>0</v>
      </c>
      <c r="AJ95" s="20">
        <f t="shared" si="9"/>
        <v>0</v>
      </c>
    </row>
    <row r="96" spans="1:42" x14ac:dyDescent="0.2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W96" s="20">
        <v>96</v>
      </c>
      <c r="X96" s="22">
        <f ca="1">TODAY()+42</f>
        <v>46255</v>
      </c>
      <c r="AG96" s="20">
        <f t="shared" si="7"/>
        <v>0</v>
      </c>
      <c r="AH96" s="20">
        <f>IF($AH$69+27&lt;$E$8+1,$AH$69+27,0)</f>
        <v>0</v>
      </c>
      <c r="AI96" s="46">
        <f t="shared" si="8"/>
        <v>0</v>
      </c>
      <c r="AJ96" s="20">
        <f t="shared" si="9"/>
        <v>0</v>
      </c>
    </row>
    <row r="97" spans="1:38" x14ac:dyDescent="0.2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W97" s="20">
        <v>97</v>
      </c>
      <c r="X97" s="22">
        <f ca="1">TODAY()+43</f>
        <v>46256</v>
      </c>
      <c r="AF97" s="20">
        <f>IF(AF93=FALSE,0,AF93)</f>
        <v>0</v>
      </c>
      <c r="AG97" s="20">
        <f t="shared" si="7"/>
        <v>0</v>
      </c>
      <c r="AH97" s="20">
        <f>IF($AH$69+28&lt;$E$8+1,$AH$69+28,0)</f>
        <v>0</v>
      </c>
      <c r="AI97" s="46">
        <f t="shared" si="8"/>
        <v>0</v>
      </c>
      <c r="AJ97" s="20">
        <f t="shared" si="9"/>
        <v>0</v>
      </c>
    </row>
    <row r="98" spans="1:38" x14ac:dyDescent="0.2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W98" s="20">
        <v>98</v>
      </c>
      <c r="X98" s="22">
        <f ca="1">TODAY()+44</f>
        <v>46257</v>
      </c>
      <c r="AG98" s="20">
        <f t="shared" si="7"/>
        <v>0</v>
      </c>
      <c r="AH98" s="20">
        <f>IF($AH$69+29&lt;$E$8+1,$AH$69+29,0)</f>
        <v>0</v>
      </c>
      <c r="AI98" s="46">
        <f t="shared" si="8"/>
        <v>0</v>
      </c>
      <c r="AJ98" s="20">
        <f t="shared" si="9"/>
        <v>0</v>
      </c>
    </row>
    <row r="99" spans="1:38" x14ac:dyDescent="0.2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W99" s="20">
        <v>99</v>
      </c>
      <c r="X99" s="22">
        <f ca="1">TODAY()+45</f>
        <v>46258</v>
      </c>
      <c r="AG99" s="20">
        <f t="shared" si="7"/>
        <v>0</v>
      </c>
      <c r="AH99" s="20">
        <f>IF($AH$69+30&lt;$E$8+1,$AH$69+30,0)</f>
        <v>0</v>
      </c>
      <c r="AI99" s="46">
        <f t="shared" si="8"/>
        <v>0</v>
      </c>
      <c r="AJ99" s="20">
        <f t="shared" si="9"/>
        <v>0</v>
      </c>
    </row>
    <row r="100" spans="1:38" x14ac:dyDescent="0.2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W100" s="20">
        <v>100</v>
      </c>
      <c r="X100" s="22">
        <f ca="1">TODAY()+46</f>
        <v>46259</v>
      </c>
      <c r="AG100" s="20">
        <f t="shared" si="7"/>
        <v>0</v>
      </c>
      <c r="AH100" s="20">
        <f>IF($AH$69+31&lt;$E$8+1,$AH$69+31,0)</f>
        <v>0</v>
      </c>
      <c r="AI100" s="46">
        <f t="shared" si="8"/>
        <v>0</v>
      </c>
      <c r="AJ100" s="20">
        <f t="shared" si="9"/>
        <v>0</v>
      </c>
    </row>
    <row r="101" spans="1:38" ht="13.5" thickBot="1" x14ac:dyDescent="0.25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W101" s="20">
        <v>101</v>
      </c>
      <c r="X101" s="22">
        <f ca="1">TODAY()+47</f>
        <v>46260</v>
      </c>
      <c r="AG101" s="20">
        <f t="shared" si="7"/>
        <v>0</v>
      </c>
      <c r="AH101" s="20">
        <f>IF($AH$69+32&lt;$E$8+1,$AH$69+32,0)</f>
        <v>0</v>
      </c>
      <c r="AI101" s="46">
        <f t="shared" si="8"/>
        <v>0</v>
      </c>
      <c r="AJ101" s="20">
        <f t="shared" si="9"/>
        <v>0</v>
      </c>
    </row>
    <row r="102" spans="1:38" ht="13.5" thickBot="1" x14ac:dyDescent="0.25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W102" s="20">
        <v>102</v>
      </c>
      <c r="X102" s="22">
        <f ca="1">TODAY()+48</f>
        <v>46261</v>
      </c>
      <c r="AJ102" s="52">
        <f>SUM(AJ69:AJ101)</f>
        <v>0</v>
      </c>
    </row>
    <row r="103" spans="1:38" x14ac:dyDescent="0.2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W103" s="20">
        <v>103</v>
      </c>
      <c r="X103" s="22">
        <f ca="1">TODAY()+49</f>
        <v>46262</v>
      </c>
    </row>
    <row r="104" spans="1:38" x14ac:dyDescent="0.2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W104" s="20">
        <v>104</v>
      </c>
      <c r="X104" s="22">
        <f ca="1">TODAY()+50</f>
        <v>46263</v>
      </c>
      <c r="AI104" s="53" t="s">
        <v>128</v>
      </c>
    </row>
    <row r="105" spans="1:38" x14ac:dyDescent="0.2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W105" s="20">
        <v>105</v>
      </c>
      <c r="X105" s="22">
        <f ca="1">TODAY()+51</f>
        <v>46264</v>
      </c>
      <c r="AG105" s="20">
        <f>AJ105</f>
        <v>0</v>
      </c>
      <c r="AH105" s="46">
        <f>B25</f>
        <v>46201</v>
      </c>
      <c r="AI105" s="46">
        <f>IF(AH105&gt;0,36-(MOD(AH105,36)),0)</f>
        <v>23</v>
      </c>
      <c r="AJ105" s="20">
        <f>IF(AI105=$AI$65,1,0)</f>
        <v>0</v>
      </c>
    </row>
    <row r="106" spans="1:38" x14ac:dyDescent="0.2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W106" s="20">
        <v>106</v>
      </c>
      <c r="X106" s="22">
        <f ca="1">TODAY()+52</f>
        <v>46265</v>
      </c>
      <c r="AG106" s="20">
        <f t="shared" ref="AG106:AG137" si="10">AJ106</f>
        <v>0</v>
      </c>
      <c r="AH106" s="20">
        <f>IF($AH$105+AL106&lt;$E$25+1,$AH$105+AL106,0)</f>
        <v>46202</v>
      </c>
      <c r="AI106" s="46">
        <f t="shared" ref="AI106:AI137" si="11">IF(AH106&gt;0,36-(MOD(AH106,36)),0)</f>
        <v>22</v>
      </c>
      <c r="AJ106" s="20">
        <f t="shared" ref="AJ106:AJ137" si="12">IF(AI106=$AI$65,1,0)</f>
        <v>0</v>
      </c>
      <c r="AL106" s="20">
        <v>1</v>
      </c>
    </row>
    <row r="107" spans="1:38" x14ac:dyDescent="0.2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W107" s="20">
        <v>107</v>
      </c>
      <c r="X107" s="22">
        <f ca="1">TODAY()+53</f>
        <v>46266</v>
      </c>
      <c r="AG107" s="20">
        <f t="shared" si="10"/>
        <v>0</v>
      </c>
      <c r="AH107" s="20">
        <f t="shared" ref="AH107:AH137" si="13">IF($AH$105+AL107&lt;$E$25+1,$AH$105+AL107,0)</f>
        <v>46203</v>
      </c>
      <c r="AI107" s="46">
        <f t="shared" si="11"/>
        <v>21</v>
      </c>
      <c r="AJ107" s="20">
        <f t="shared" si="12"/>
        <v>0</v>
      </c>
      <c r="AL107" s="20">
        <v>2</v>
      </c>
    </row>
    <row r="108" spans="1:38" x14ac:dyDescent="0.2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W108" s="20">
        <v>108</v>
      </c>
      <c r="X108" s="22">
        <f ca="1">TODAY()+54</f>
        <v>46267</v>
      </c>
      <c r="AG108" s="20">
        <f t="shared" si="10"/>
        <v>0</v>
      </c>
      <c r="AH108" s="20">
        <f t="shared" si="13"/>
        <v>46204</v>
      </c>
      <c r="AI108" s="46">
        <f t="shared" si="11"/>
        <v>20</v>
      </c>
      <c r="AJ108" s="20">
        <f t="shared" si="12"/>
        <v>0</v>
      </c>
      <c r="AL108" s="20">
        <v>3</v>
      </c>
    </row>
    <row r="109" spans="1:38" x14ac:dyDescent="0.2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W109" s="20">
        <v>109</v>
      </c>
      <c r="X109" s="22">
        <f ca="1">TODAY()+55</f>
        <v>46268</v>
      </c>
      <c r="AG109" s="20">
        <f t="shared" si="10"/>
        <v>0</v>
      </c>
      <c r="AH109" s="20">
        <f t="shared" si="13"/>
        <v>46205</v>
      </c>
      <c r="AI109" s="46">
        <f t="shared" si="11"/>
        <v>19</v>
      </c>
      <c r="AJ109" s="20">
        <f t="shared" si="12"/>
        <v>0</v>
      </c>
      <c r="AL109" s="20">
        <v>4</v>
      </c>
    </row>
    <row r="110" spans="1:38" x14ac:dyDescent="0.2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X110" s="22"/>
      <c r="AG110" s="20">
        <f t="shared" si="10"/>
        <v>0</v>
      </c>
      <c r="AH110" s="20">
        <f t="shared" si="13"/>
        <v>46206</v>
      </c>
      <c r="AI110" s="46">
        <f t="shared" si="11"/>
        <v>18</v>
      </c>
      <c r="AJ110" s="20">
        <f t="shared" si="12"/>
        <v>0</v>
      </c>
      <c r="AL110" s="20">
        <v>5</v>
      </c>
    </row>
    <row r="111" spans="1:38" x14ac:dyDescent="0.2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X111" s="22"/>
      <c r="AG111" s="20">
        <f t="shared" si="10"/>
        <v>0</v>
      </c>
      <c r="AH111" s="20">
        <f t="shared" si="13"/>
        <v>0</v>
      </c>
      <c r="AI111" s="46">
        <f t="shared" si="11"/>
        <v>0</v>
      </c>
      <c r="AJ111" s="20">
        <f t="shared" si="12"/>
        <v>0</v>
      </c>
      <c r="AL111" s="20">
        <v>6</v>
      </c>
    </row>
    <row r="112" spans="1:38" x14ac:dyDescent="0.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X112" s="22"/>
      <c r="AG112" s="20">
        <f t="shared" si="10"/>
        <v>0</v>
      </c>
      <c r="AH112" s="20">
        <f t="shared" si="13"/>
        <v>0</v>
      </c>
      <c r="AI112" s="46">
        <f t="shared" si="11"/>
        <v>0</v>
      </c>
      <c r="AJ112" s="20">
        <f t="shared" si="12"/>
        <v>0</v>
      </c>
      <c r="AL112" s="20">
        <v>7</v>
      </c>
    </row>
    <row r="113" spans="1:38" x14ac:dyDescent="0.2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X113" s="22"/>
      <c r="AG113" s="20">
        <f t="shared" si="10"/>
        <v>0</v>
      </c>
      <c r="AH113" s="20">
        <f t="shared" si="13"/>
        <v>0</v>
      </c>
      <c r="AI113" s="46">
        <f t="shared" si="11"/>
        <v>0</v>
      </c>
      <c r="AJ113" s="20">
        <f t="shared" si="12"/>
        <v>0</v>
      </c>
      <c r="AL113" s="20">
        <v>8</v>
      </c>
    </row>
    <row r="114" spans="1:38" x14ac:dyDescent="0.2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X114" s="22"/>
      <c r="AG114" s="20">
        <f t="shared" si="10"/>
        <v>0</v>
      </c>
      <c r="AH114" s="20">
        <f t="shared" si="13"/>
        <v>0</v>
      </c>
      <c r="AI114" s="46">
        <f t="shared" si="11"/>
        <v>0</v>
      </c>
      <c r="AJ114" s="20">
        <f t="shared" si="12"/>
        <v>0</v>
      </c>
      <c r="AL114" s="20">
        <v>9</v>
      </c>
    </row>
    <row r="115" spans="1:38" x14ac:dyDescent="0.2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X115" s="22"/>
      <c r="AG115" s="20">
        <f t="shared" si="10"/>
        <v>0</v>
      </c>
      <c r="AH115" s="20">
        <f t="shared" si="13"/>
        <v>0</v>
      </c>
      <c r="AI115" s="46">
        <f t="shared" si="11"/>
        <v>0</v>
      </c>
      <c r="AJ115" s="20">
        <f t="shared" si="12"/>
        <v>0</v>
      </c>
      <c r="AL115" s="20">
        <v>10</v>
      </c>
    </row>
    <row r="116" spans="1:38" x14ac:dyDescent="0.2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X116" s="22"/>
      <c r="AG116" s="20">
        <f t="shared" si="10"/>
        <v>0</v>
      </c>
      <c r="AH116" s="20">
        <f t="shared" si="13"/>
        <v>0</v>
      </c>
      <c r="AI116" s="46">
        <f t="shared" si="11"/>
        <v>0</v>
      </c>
      <c r="AJ116" s="20">
        <f t="shared" si="12"/>
        <v>0</v>
      </c>
      <c r="AL116" s="20">
        <v>11</v>
      </c>
    </row>
    <row r="117" spans="1:38" x14ac:dyDescent="0.2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X117" s="22"/>
      <c r="AG117" s="20">
        <f t="shared" si="10"/>
        <v>0</v>
      </c>
      <c r="AH117" s="20">
        <f t="shared" si="13"/>
        <v>0</v>
      </c>
      <c r="AI117" s="46">
        <f t="shared" si="11"/>
        <v>0</v>
      </c>
      <c r="AJ117" s="20">
        <f t="shared" si="12"/>
        <v>0</v>
      </c>
      <c r="AL117" s="20">
        <v>12</v>
      </c>
    </row>
    <row r="118" spans="1:38" x14ac:dyDescent="0.2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X118" s="22"/>
      <c r="AG118" s="20">
        <f t="shared" si="10"/>
        <v>0</v>
      </c>
      <c r="AH118" s="20">
        <f t="shared" si="13"/>
        <v>0</v>
      </c>
      <c r="AI118" s="46">
        <f t="shared" si="11"/>
        <v>0</v>
      </c>
      <c r="AJ118" s="20">
        <f t="shared" si="12"/>
        <v>0</v>
      </c>
      <c r="AL118" s="20">
        <v>13</v>
      </c>
    </row>
    <row r="119" spans="1:38" x14ac:dyDescent="0.2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X119" s="22"/>
      <c r="AG119" s="20">
        <f t="shared" si="10"/>
        <v>0</v>
      </c>
      <c r="AH119" s="20">
        <f t="shared" si="13"/>
        <v>0</v>
      </c>
      <c r="AI119" s="46">
        <f t="shared" si="11"/>
        <v>0</v>
      </c>
      <c r="AJ119" s="20">
        <f t="shared" si="12"/>
        <v>0</v>
      </c>
      <c r="AL119" s="20">
        <v>14</v>
      </c>
    </row>
    <row r="120" spans="1:38" x14ac:dyDescent="0.2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X120" s="22"/>
      <c r="AG120" s="20">
        <f t="shared" si="10"/>
        <v>0</v>
      </c>
      <c r="AH120" s="20">
        <f t="shared" si="13"/>
        <v>0</v>
      </c>
      <c r="AI120" s="46">
        <f t="shared" si="11"/>
        <v>0</v>
      </c>
      <c r="AJ120" s="20">
        <f t="shared" si="12"/>
        <v>0</v>
      </c>
      <c r="AL120" s="20">
        <v>15</v>
      </c>
    </row>
    <row r="121" spans="1:38" x14ac:dyDescent="0.2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X121" s="22"/>
      <c r="AG121" s="20">
        <f t="shared" si="10"/>
        <v>0</v>
      </c>
      <c r="AH121" s="20">
        <f t="shared" si="13"/>
        <v>0</v>
      </c>
      <c r="AI121" s="46">
        <f t="shared" si="11"/>
        <v>0</v>
      </c>
      <c r="AJ121" s="20">
        <f t="shared" si="12"/>
        <v>0</v>
      </c>
      <c r="AL121" s="20">
        <v>16</v>
      </c>
    </row>
    <row r="122" spans="1:38" x14ac:dyDescent="0.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X122" s="22"/>
      <c r="AG122" s="20">
        <f t="shared" si="10"/>
        <v>0</v>
      </c>
      <c r="AH122" s="20">
        <f t="shared" si="13"/>
        <v>0</v>
      </c>
      <c r="AI122" s="46">
        <f t="shared" si="11"/>
        <v>0</v>
      </c>
      <c r="AJ122" s="20">
        <f t="shared" si="12"/>
        <v>0</v>
      </c>
      <c r="AL122" s="20">
        <v>17</v>
      </c>
    </row>
    <row r="123" spans="1:38" x14ac:dyDescent="0.2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X123" s="22"/>
      <c r="AG123" s="20">
        <f t="shared" si="10"/>
        <v>0</v>
      </c>
      <c r="AH123" s="20">
        <f t="shared" si="13"/>
        <v>0</v>
      </c>
      <c r="AI123" s="46">
        <f t="shared" si="11"/>
        <v>0</v>
      </c>
      <c r="AJ123" s="20">
        <f t="shared" si="12"/>
        <v>0</v>
      </c>
      <c r="AL123" s="20">
        <v>18</v>
      </c>
    </row>
    <row r="124" spans="1:38" x14ac:dyDescent="0.2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X124" s="22"/>
      <c r="AG124" s="20">
        <f t="shared" si="10"/>
        <v>0</v>
      </c>
      <c r="AH124" s="20">
        <f t="shared" si="13"/>
        <v>0</v>
      </c>
      <c r="AI124" s="46">
        <f t="shared" si="11"/>
        <v>0</v>
      </c>
      <c r="AJ124" s="20">
        <f t="shared" si="12"/>
        <v>0</v>
      </c>
      <c r="AL124" s="20">
        <v>19</v>
      </c>
    </row>
    <row r="125" spans="1:38" x14ac:dyDescent="0.2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X125" s="22"/>
      <c r="AG125" s="20">
        <f t="shared" si="10"/>
        <v>0</v>
      </c>
      <c r="AH125" s="20">
        <f t="shared" si="13"/>
        <v>0</v>
      </c>
      <c r="AI125" s="46">
        <f t="shared" si="11"/>
        <v>0</v>
      </c>
      <c r="AJ125" s="20">
        <f t="shared" si="12"/>
        <v>0</v>
      </c>
      <c r="AL125" s="20">
        <v>20</v>
      </c>
    </row>
    <row r="126" spans="1:38" x14ac:dyDescent="0.2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X126" s="22"/>
      <c r="AG126" s="20">
        <f t="shared" si="10"/>
        <v>0</v>
      </c>
      <c r="AH126" s="20">
        <f t="shared" si="13"/>
        <v>0</v>
      </c>
      <c r="AI126" s="46">
        <f t="shared" si="11"/>
        <v>0</v>
      </c>
      <c r="AJ126" s="20">
        <f t="shared" si="12"/>
        <v>0</v>
      </c>
      <c r="AL126" s="20">
        <v>21</v>
      </c>
    </row>
    <row r="127" spans="1:38" x14ac:dyDescent="0.2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X127" s="22"/>
      <c r="AG127" s="20">
        <f t="shared" si="10"/>
        <v>0</v>
      </c>
      <c r="AH127" s="20">
        <f t="shared" si="13"/>
        <v>0</v>
      </c>
      <c r="AI127" s="46">
        <f t="shared" si="11"/>
        <v>0</v>
      </c>
      <c r="AJ127" s="20">
        <f t="shared" si="12"/>
        <v>0</v>
      </c>
      <c r="AL127" s="20">
        <v>22</v>
      </c>
    </row>
    <row r="128" spans="1:38" x14ac:dyDescent="0.2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X128" s="22"/>
      <c r="AG128" s="20">
        <f t="shared" si="10"/>
        <v>0</v>
      </c>
      <c r="AH128" s="20">
        <f t="shared" si="13"/>
        <v>0</v>
      </c>
      <c r="AI128" s="46">
        <f t="shared" si="11"/>
        <v>0</v>
      </c>
      <c r="AJ128" s="20">
        <f t="shared" si="12"/>
        <v>0</v>
      </c>
      <c r="AL128" s="20">
        <v>23</v>
      </c>
    </row>
    <row r="129" spans="1:38" x14ac:dyDescent="0.2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X129" s="22"/>
      <c r="AG129" s="20">
        <f t="shared" si="10"/>
        <v>0</v>
      </c>
      <c r="AH129" s="20">
        <f t="shared" si="13"/>
        <v>0</v>
      </c>
      <c r="AI129" s="46">
        <f t="shared" si="11"/>
        <v>0</v>
      </c>
      <c r="AJ129" s="20">
        <f t="shared" si="12"/>
        <v>0</v>
      </c>
      <c r="AL129" s="20">
        <v>24</v>
      </c>
    </row>
    <row r="130" spans="1:38" x14ac:dyDescent="0.2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AG130" s="20">
        <f t="shared" si="10"/>
        <v>0</v>
      </c>
      <c r="AH130" s="20">
        <f t="shared" si="13"/>
        <v>0</v>
      </c>
      <c r="AI130" s="46">
        <f t="shared" si="11"/>
        <v>0</v>
      </c>
      <c r="AJ130" s="20">
        <f t="shared" si="12"/>
        <v>0</v>
      </c>
      <c r="AL130" s="20">
        <v>25</v>
      </c>
    </row>
    <row r="131" spans="1:38" x14ac:dyDescent="0.2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AG131" s="20">
        <f t="shared" si="10"/>
        <v>0</v>
      </c>
      <c r="AH131" s="20">
        <f t="shared" si="13"/>
        <v>0</v>
      </c>
      <c r="AI131" s="46">
        <f t="shared" si="11"/>
        <v>0</v>
      </c>
      <c r="AJ131" s="20">
        <f t="shared" si="12"/>
        <v>0</v>
      </c>
      <c r="AL131" s="20">
        <v>26</v>
      </c>
    </row>
    <row r="132" spans="1:38" x14ac:dyDescent="0.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AG132" s="20">
        <f t="shared" si="10"/>
        <v>0</v>
      </c>
      <c r="AH132" s="20">
        <f t="shared" si="13"/>
        <v>0</v>
      </c>
      <c r="AI132" s="46">
        <f t="shared" si="11"/>
        <v>0</v>
      </c>
      <c r="AJ132" s="20">
        <f t="shared" si="12"/>
        <v>0</v>
      </c>
      <c r="AL132" s="20">
        <v>27</v>
      </c>
    </row>
    <row r="133" spans="1:38" x14ac:dyDescent="0.2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AG133" s="20">
        <f t="shared" si="10"/>
        <v>0</v>
      </c>
      <c r="AH133" s="20">
        <f t="shared" si="13"/>
        <v>0</v>
      </c>
      <c r="AI133" s="46">
        <f t="shared" si="11"/>
        <v>0</v>
      </c>
      <c r="AJ133" s="20">
        <f t="shared" si="12"/>
        <v>0</v>
      </c>
      <c r="AL133" s="20">
        <v>28</v>
      </c>
    </row>
    <row r="134" spans="1:38" x14ac:dyDescent="0.2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AG134" s="20">
        <f t="shared" si="10"/>
        <v>0</v>
      </c>
      <c r="AH134" s="20">
        <f t="shared" si="13"/>
        <v>0</v>
      </c>
      <c r="AI134" s="46">
        <f t="shared" si="11"/>
        <v>0</v>
      </c>
      <c r="AJ134" s="20">
        <f t="shared" si="12"/>
        <v>0</v>
      </c>
      <c r="AL134" s="20">
        <v>29</v>
      </c>
    </row>
    <row r="135" spans="1:38" x14ac:dyDescent="0.2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AG135" s="20">
        <f t="shared" si="10"/>
        <v>0</v>
      </c>
      <c r="AH135" s="20">
        <f t="shared" si="13"/>
        <v>0</v>
      </c>
      <c r="AI135" s="46">
        <f t="shared" si="11"/>
        <v>0</v>
      </c>
      <c r="AJ135" s="20">
        <f t="shared" si="12"/>
        <v>0</v>
      </c>
      <c r="AL135" s="20">
        <v>30</v>
      </c>
    </row>
    <row r="136" spans="1:38" x14ac:dyDescent="0.2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AG136" s="20">
        <f t="shared" si="10"/>
        <v>0</v>
      </c>
      <c r="AH136" s="20">
        <f t="shared" si="13"/>
        <v>0</v>
      </c>
      <c r="AI136" s="46">
        <f t="shared" si="11"/>
        <v>0</v>
      </c>
      <c r="AJ136" s="20">
        <f t="shared" si="12"/>
        <v>0</v>
      </c>
      <c r="AL136" s="20">
        <v>31</v>
      </c>
    </row>
    <row r="137" spans="1:38" ht="13.5" thickBot="1" x14ac:dyDescent="0.25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AG137" s="20">
        <f t="shared" si="10"/>
        <v>0</v>
      </c>
      <c r="AH137" s="20">
        <f t="shared" si="13"/>
        <v>0</v>
      </c>
      <c r="AI137" s="46">
        <f t="shared" si="11"/>
        <v>0</v>
      </c>
      <c r="AJ137" s="20">
        <f t="shared" si="12"/>
        <v>0</v>
      </c>
      <c r="AL137" s="20">
        <v>32</v>
      </c>
    </row>
    <row r="138" spans="1:38" ht="13.5" thickBot="1" x14ac:dyDescent="0.25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AJ138" s="52">
        <f>SUM(AJ105:AJ137)</f>
        <v>0</v>
      </c>
    </row>
  </sheetData>
  <sheetProtection selectLockedCells="1" selectUnlockedCells="1"/>
  <sortState xmlns:xlrd2="http://schemas.microsoft.com/office/spreadsheetml/2017/richdata2" ref="AP23:AR72">
    <sortCondition ref="AP22:AP72"/>
  </sortState>
  <mergeCells count="61">
    <mergeCell ref="A14:F14"/>
    <mergeCell ref="H29:K29"/>
    <mergeCell ref="H30:K30"/>
    <mergeCell ref="H31:K31"/>
    <mergeCell ref="A19:K19"/>
    <mergeCell ref="A21:F21"/>
    <mergeCell ref="G21:K21"/>
    <mergeCell ref="A22:F22"/>
    <mergeCell ref="G22:K22"/>
    <mergeCell ref="A23:F23"/>
    <mergeCell ref="G23:K23"/>
    <mergeCell ref="B25:C25"/>
    <mergeCell ref="E25:F25"/>
    <mergeCell ref="I25:K25"/>
    <mergeCell ref="G3:K3"/>
    <mergeCell ref="A6:F6"/>
    <mergeCell ref="A1:K1"/>
    <mergeCell ref="A2:K2"/>
    <mergeCell ref="A3:F3"/>
    <mergeCell ref="A4:F4"/>
    <mergeCell ref="G5:K5"/>
    <mergeCell ref="G6:K6"/>
    <mergeCell ref="A7:G7"/>
    <mergeCell ref="A5:F5"/>
    <mergeCell ref="G4:K4"/>
    <mergeCell ref="E8:F8"/>
    <mergeCell ref="B8:C8"/>
    <mergeCell ref="I8:K8"/>
    <mergeCell ref="H7:J7"/>
    <mergeCell ref="H32:K32"/>
    <mergeCell ref="G26:K26"/>
    <mergeCell ref="G9:K9"/>
    <mergeCell ref="G10:K11"/>
    <mergeCell ref="G16:H16"/>
    <mergeCell ref="H12:K12"/>
    <mergeCell ref="A17:L17"/>
    <mergeCell ref="A15:F15"/>
    <mergeCell ref="C10:F11"/>
    <mergeCell ref="A16:F16"/>
    <mergeCell ref="A13:F13"/>
    <mergeCell ref="A10:B11"/>
    <mergeCell ref="I16:K16"/>
    <mergeCell ref="H14:K14"/>
    <mergeCell ref="H13:K13"/>
    <mergeCell ref="H15:K15"/>
    <mergeCell ref="M31:M32"/>
    <mergeCell ref="M14:M15"/>
    <mergeCell ref="G33:H33"/>
    <mergeCell ref="I33:K33"/>
    <mergeCell ref="A33:F33"/>
    <mergeCell ref="A18:K18"/>
    <mergeCell ref="A20:F20"/>
    <mergeCell ref="G20:K20"/>
    <mergeCell ref="A24:G24"/>
    <mergeCell ref="H24:J24"/>
    <mergeCell ref="A31:F31"/>
    <mergeCell ref="A32:F32"/>
    <mergeCell ref="A27:B28"/>
    <mergeCell ref="C27:F28"/>
    <mergeCell ref="G27:K28"/>
    <mergeCell ref="A30:F30"/>
  </mergeCells>
  <phoneticPr fontId="0" type="noConversion"/>
  <conditionalFormatting sqref="E65">
    <cfRule type="expression" dxfId="6" priority="8" stopIfTrue="1">
      <formula>IF(B65(),TRUE,E65())</formula>
    </cfRule>
  </conditionalFormatting>
  <conditionalFormatting sqref="M11">
    <cfRule type="cellIs" dxfId="5" priority="4" operator="equal">
      <formula>0</formula>
    </cfRule>
  </conditionalFormatting>
  <conditionalFormatting sqref="M12">
    <cfRule type="cellIs" dxfId="4" priority="3" operator="equal">
      <formula>0</formula>
    </cfRule>
  </conditionalFormatting>
  <conditionalFormatting sqref="M28:M29">
    <cfRule type="cellIs" dxfId="3" priority="1" operator="equal">
      <formula>0</formula>
    </cfRule>
  </conditionalFormatting>
  <conditionalFormatting sqref="U21">
    <cfRule type="expression" priority="9" stopIfTrue="1">
      <formula>TODAY()</formula>
    </cfRule>
  </conditionalFormatting>
  <conditionalFormatting sqref="AA44">
    <cfRule type="cellIs" dxfId="2" priority="7" stopIfTrue="1" operator="equal">
      <formula>0</formula>
    </cfRule>
  </conditionalFormatting>
  <conditionalFormatting sqref="AA44:AC52">
    <cfRule type="cellIs" dxfId="1" priority="6" stopIfTrue="1" operator="equal">
      <formula>0</formula>
    </cfRule>
  </conditionalFormatting>
  <conditionalFormatting sqref="AF44:AH52">
    <cfRule type="cellIs" dxfId="0" priority="5" stopIfTrue="1" operator="equal">
      <formula>0</formula>
    </cfRule>
  </conditionalFormatting>
  <dataValidations count="6">
    <dataValidation type="list" allowBlank="1" showInputMessage="1" showErrorMessage="1" sqref="AG7:AG8" xr:uid="{93EC06BF-3BE6-4E37-8B02-78F30172385D}">
      <formula1>$X$1:$X$102</formula1>
    </dataValidation>
    <dataValidation type="date" allowBlank="1" showInputMessage="1" showErrorMessage="1" promptTitle="dátum" sqref="T18" xr:uid="{0E5FEF39-0DD1-409B-805C-6854AE3CE37C}">
      <formula1>TODAY()-33</formula1>
      <formula2>TODAY()+100</formula2>
    </dataValidation>
    <dataValidation type="list" allowBlank="1" showInputMessage="1" showErrorMessage="1" promptTitle="détum" sqref="U21" xr:uid="{15169767-F067-40FF-B5FF-87971C3BBEFE}">
      <formula1>$X$1:$X$103</formula1>
    </dataValidation>
    <dataValidation type="whole" allowBlank="1" showInputMessage="1" showErrorMessage="1" sqref="T21" xr:uid="{EBCB693A-A826-43B0-8913-D2D3E2ED3840}">
      <formula1>1</formula1>
      <formula2>10</formula2>
    </dataValidation>
    <dataValidation type="date" allowBlank="1" showInputMessage="1" showErrorMessage="1" sqref="U23:U38" xr:uid="{04D75B2B-8CB0-48F5-9F39-A901DB35F24B}">
      <formula1>40452</formula1>
      <formula2>40466</formula2>
    </dataValidation>
    <dataValidation type="list" allowBlank="1" showInputMessage="1" showErrorMessage="1" sqref="I8:K8 I25:K25" xr:uid="{863D6E68-0F96-4727-BDEA-89CA75030609}">
      <formula1>$P$48:$P$58</formula1>
    </dataValidation>
  </dataValidations>
  <pageMargins left="0.23622047244094491" right="0.23622047244094491" top="0.43307086614173229" bottom="0.35433070866141736" header="0.31496062992125984" footer="0.31496062992125984"/>
  <pageSetup paperSize="11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4" name="Drop Down 3">
              <controlPr defaultSize="0" autoLine="0" autoPict="0">
                <anchor moveWithCells="1">
                  <from>
                    <xdr:col>12</xdr:col>
                    <xdr:colOff>142875</xdr:colOff>
                    <xdr:row>2</xdr:row>
                    <xdr:rowOff>190500</xdr:rowOff>
                  </from>
                  <to>
                    <xdr:col>12</xdr:col>
                    <xdr:colOff>1543050</xdr:colOff>
                    <xdr:row>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5" name="Drop Down 7">
              <controlPr defaultSize="0" autoLine="0" autoPict="0">
                <anchor moveWithCells="1">
                  <from>
                    <xdr:col>12</xdr:col>
                    <xdr:colOff>142875</xdr:colOff>
                    <xdr:row>4</xdr:row>
                    <xdr:rowOff>171450</xdr:rowOff>
                  </from>
                  <to>
                    <xdr:col>12</xdr:col>
                    <xdr:colOff>1543050</xdr:colOff>
                    <xdr:row>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6" name="Drop Down 10">
              <controlPr defaultSize="0" autoLine="0" autoPict="0">
                <anchor moveWithCells="1">
                  <from>
                    <xdr:col>20</xdr:col>
                    <xdr:colOff>400050</xdr:colOff>
                    <xdr:row>50</xdr:row>
                    <xdr:rowOff>28575</xdr:rowOff>
                  </from>
                  <to>
                    <xdr:col>21</xdr:col>
                    <xdr:colOff>47625</xdr:colOff>
                    <xdr:row>53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7" name="Drop Down 11">
              <controlPr defaultSize="0" autoLine="0" autoPict="0">
                <anchor moveWithCells="1">
                  <from>
                    <xdr:col>15</xdr:col>
                    <xdr:colOff>66675</xdr:colOff>
                    <xdr:row>61</xdr:row>
                    <xdr:rowOff>114300</xdr:rowOff>
                  </from>
                  <to>
                    <xdr:col>15</xdr:col>
                    <xdr:colOff>1352550</xdr:colOff>
                    <xdr:row>62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8" name="Drop Down 39">
              <controlPr defaultSize="0" autoLine="0" autoPict="0">
                <anchor moveWithCells="1">
                  <from>
                    <xdr:col>12</xdr:col>
                    <xdr:colOff>152400</xdr:colOff>
                    <xdr:row>6</xdr:row>
                    <xdr:rowOff>133350</xdr:rowOff>
                  </from>
                  <to>
                    <xdr:col>12</xdr:col>
                    <xdr:colOff>1552575</xdr:colOff>
                    <xdr:row>7</xdr:row>
                    <xdr:rowOff>180975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Hárky</vt:lpstr>
      </vt:variant>
      <vt:variant>
        <vt:i4>1</vt:i4>
      </vt:variant>
      <vt:variant>
        <vt:lpstr>Pomenované rozsahy</vt:lpstr>
      </vt:variant>
      <vt:variant>
        <vt:i4>1</vt:i4>
      </vt:variant>
    </vt:vector>
  </HeadingPairs>
  <TitlesOfParts>
    <vt:vector size="2" baseType="lpstr">
      <vt:lpstr>Dovolenkový lístok</vt:lpstr>
      <vt:lpstr>'Dovolenkový lístok'!Oblasť_tlače</vt:lpstr>
    </vt:vector>
  </TitlesOfParts>
  <Company>DP Bratislava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Jozef Hanzl</dc:creator>
  <cp:lastModifiedBy>Hanzl Tomáš</cp:lastModifiedBy>
  <cp:lastPrinted>2026-01-31T13:53:13Z</cp:lastPrinted>
  <dcterms:created xsi:type="dcterms:W3CDTF">2010-10-17T13:05:40Z</dcterms:created>
  <dcterms:modified xsi:type="dcterms:W3CDTF">2026-07-10T13:28:52Z</dcterms:modified>
</cp:coreProperties>
</file>